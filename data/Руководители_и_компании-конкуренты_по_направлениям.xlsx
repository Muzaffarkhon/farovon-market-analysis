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2D136478-D055-4E3E-864D-E3794E832D9E}" xr6:coauthVersionLast="47" xr6:coauthVersionMax="47" xr10:uidLastSave="{00000000-0000-0000-0000-000000000000}"/>
  <bookViews>
    <workbookView xWindow="-108" yWindow="-108" windowWidth="23256" windowHeight="12576" tabRatio="696" activeTab="4" xr2:uid="{00000000-000D-0000-FFFF-FFFF00000000}"/>
  </bookViews>
  <sheets>
    <sheet name="Сводка по направлениям" sheetId="1" r:id="rId1"/>
    <sheet name="Компании по направлениям" sheetId="2" r:id="rId2"/>
    <sheet name="Должности по направлениям" sheetId="3" r:id="rId3"/>
    <sheet name="Ответственные лица" sheetId="4" r:id="rId4"/>
    <sheet name="Справочник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9" i="4" l="1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E2" i="3"/>
  <c r="C2" i="3"/>
  <c r="I232" i="2"/>
  <c r="G232" i="2"/>
  <c r="E232" i="2"/>
  <c r="C232" i="2"/>
  <c r="I231" i="2"/>
  <c r="G231" i="2"/>
  <c r="E231" i="2"/>
  <c r="C231" i="2"/>
  <c r="I230" i="2"/>
  <c r="G230" i="2"/>
  <c r="E230" i="2"/>
  <c r="C230" i="2"/>
  <c r="I229" i="2"/>
  <c r="G229" i="2"/>
  <c r="E229" i="2"/>
  <c r="C229" i="2"/>
  <c r="I228" i="2"/>
  <c r="G228" i="2"/>
  <c r="E228" i="2"/>
  <c r="C228" i="2"/>
  <c r="I227" i="2"/>
  <c r="G227" i="2"/>
  <c r="E227" i="2"/>
  <c r="C227" i="2"/>
  <c r="I226" i="2"/>
  <c r="G226" i="2"/>
  <c r="E226" i="2"/>
  <c r="C226" i="2"/>
  <c r="I225" i="2"/>
  <c r="G225" i="2"/>
  <c r="E225" i="2"/>
  <c r="C225" i="2"/>
  <c r="I224" i="2"/>
  <c r="G224" i="2"/>
  <c r="E224" i="2"/>
  <c r="C224" i="2"/>
  <c r="I223" i="2"/>
  <c r="G223" i="2"/>
  <c r="E223" i="2"/>
  <c r="C223" i="2"/>
  <c r="I222" i="2"/>
  <c r="G222" i="2"/>
  <c r="E222" i="2"/>
  <c r="C222" i="2"/>
  <c r="I221" i="2"/>
  <c r="G221" i="2"/>
  <c r="E221" i="2"/>
  <c r="C221" i="2"/>
  <c r="I220" i="2"/>
  <c r="G220" i="2"/>
  <c r="E220" i="2"/>
  <c r="C220" i="2"/>
  <c r="I219" i="2"/>
  <c r="G219" i="2"/>
  <c r="E219" i="2"/>
  <c r="C219" i="2"/>
  <c r="I218" i="2"/>
  <c r="G218" i="2"/>
  <c r="E218" i="2"/>
  <c r="C218" i="2"/>
  <c r="I217" i="2"/>
  <c r="G217" i="2"/>
  <c r="E217" i="2"/>
  <c r="C217" i="2"/>
  <c r="I216" i="2"/>
  <c r="G216" i="2"/>
  <c r="E216" i="2"/>
  <c r="C216" i="2"/>
  <c r="I215" i="2"/>
  <c r="G215" i="2"/>
  <c r="E215" i="2"/>
  <c r="C215" i="2"/>
  <c r="I214" i="2"/>
  <c r="G214" i="2"/>
  <c r="E214" i="2"/>
  <c r="C214" i="2"/>
  <c r="I213" i="2"/>
  <c r="G213" i="2"/>
  <c r="E213" i="2"/>
  <c r="C213" i="2"/>
  <c r="I212" i="2"/>
  <c r="G212" i="2"/>
  <c r="E212" i="2"/>
  <c r="C212" i="2"/>
  <c r="I211" i="2"/>
  <c r="G211" i="2"/>
  <c r="E211" i="2"/>
  <c r="C211" i="2"/>
  <c r="I210" i="2"/>
  <c r="G210" i="2"/>
  <c r="E210" i="2"/>
  <c r="C210" i="2"/>
  <c r="I209" i="2"/>
  <c r="G209" i="2"/>
  <c r="E209" i="2"/>
  <c r="C209" i="2"/>
  <c r="I208" i="2"/>
  <c r="G208" i="2"/>
  <c r="E208" i="2"/>
  <c r="C208" i="2"/>
  <c r="I207" i="2"/>
  <c r="G207" i="2"/>
  <c r="E207" i="2"/>
  <c r="C207" i="2"/>
  <c r="I206" i="2"/>
  <c r="G206" i="2"/>
  <c r="E206" i="2"/>
  <c r="C206" i="2"/>
  <c r="I205" i="2"/>
  <c r="G205" i="2"/>
  <c r="E205" i="2"/>
  <c r="C205" i="2"/>
  <c r="I204" i="2"/>
  <c r="G204" i="2"/>
  <c r="E204" i="2"/>
  <c r="C204" i="2"/>
  <c r="I203" i="2"/>
  <c r="G203" i="2"/>
  <c r="E203" i="2"/>
  <c r="C203" i="2"/>
  <c r="I202" i="2"/>
  <c r="G202" i="2"/>
  <c r="E202" i="2"/>
  <c r="C202" i="2"/>
  <c r="I201" i="2"/>
  <c r="G201" i="2"/>
  <c r="E201" i="2"/>
  <c r="C201" i="2"/>
  <c r="I200" i="2"/>
  <c r="G200" i="2"/>
  <c r="E200" i="2"/>
  <c r="C200" i="2"/>
  <c r="I199" i="2"/>
  <c r="G199" i="2"/>
  <c r="E199" i="2"/>
  <c r="C199" i="2"/>
  <c r="I198" i="2"/>
  <c r="G198" i="2"/>
  <c r="E198" i="2"/>
  <c r="C198" i="2"/>
  <c r="I197" i="2"/>
  <c r="G197" i="2"/>
  <c r="E197" i="2"/>
  <c r="C197" i="2"/>
  <c r="I196" i="2"/>
  <c r="G196" i="2"/>
  <c r="E196" i="2"/>
  <c r="C196" i="2"/>
  <c r="I195" i="2"/>
  <c r="G195" i="2"/>
  <c r="E195" i="2"/>
  <c r="C195" i="2"/>
  <c r="I194" i="2"/>
  <c r="G194" i="2"/>
  <c r="E194" i="2"/>
  <c r="C194" i="2"/>
  <c r="I193" i="2"/>
  <c r="G193" i="2"/>
  <c r="E193" i="2"/>
  <c r="C193" i="2"/>
  <c r="I192" i="2"/>
  <c r="G192" i="2"/>
  <c r="E192" i="2"/>
  <c r="C192" i="2"/>
  <c r="I191" i="2"/>
  <c r="G191" i="2"/>
  <c r="E191" i="2"/>
  <c r="C191" i="2"/>
  <c r="I190" i="2"/>
  <c r="G190" i="2"/>
  <c r="E190" i="2"/>
  <c r="C190" i="2"/>
  <c r="I189" i="2"/>
  <c r="G189" i="2"/>
  <c r="E189" i="2"/>
  <c r="C189" i="2"/>
  <c r="I188" i="2"/>
  <c r="G188" i="2"/>
  <c r="E188" i="2"/>
  <c r="C188" i="2"/>
  <c r="I187" i="2"/>
  <c r="G187" i="2"/>
  <c r="E187" i="2"/>
  <c r="C187" i="2"/>
  <c r="I186" i="2"/>
  <c r="G186" i="2"/>
  <c r="E186" i="2"/>
  <c r="C186" i="2"/>
  <c r="I185" i="2"/>
  <c r="G185" i="2"/>
  <c r="E185" i="2"/>
  <c r="C185" i="2"/>
  <c r="I184" i="2"/>
  <c r="G184" i="2"/>
  <c r="E184" i="2"/>
  <c r="C184" i="2"/>
  <c r="I183" i="2"/>
  <c r="G183" i="2"/>
  <c r="E183" i="2"/>
  <c r="C183" i="2"/>
  <c r="I182" i="2"/>
  <c r="G182" i="2"/>
  <c r="E182" i="2"/>
  <c r="C182" i="2"/>
  <c r="I181" i="2"/>
  <c r="G181" i="2"/>
  <c r="E181" i="2"/>
  <c r="C181" i="2"/>
  <c r="I180" i="2"/>
  <c r="G180" i="2"/>
  <c r="E180" i="2"/>
  <c r="C180" i="2"/>
  <c r="I179" i="2"/>
  <c r="G179" i="2"/>
  <c r="E179" i="2"/>
  <c r="C179" i="2"/>
  <c r="I178" i="2"/>
  <c r="G178" i="2"/>
  <c r="E178" i="2"/>
  <c r="C178" i="2"/>
  <c r="I177" i="2"/>
  <c r="G177" i="2"/>
  <c r="E177" i="2"/>
  <c r="C177" i="2"/>
  <c r="I176" i="2"/>
  <c r="G176" i="2"/>
  <c r="E176" i="2"/>
  <c r="C176" i="2"/>
  <c r="I175" i="2"/>
  <c r="G175" i="2"/>
  <c r="E175" i="2"/>
  <c r="C175" i="2"/>
  <c r="I174" i="2"/>
  <c r="G174" i="2"/>
  <c r="E174" i="2"/>
  <c r="C174" i="2"/>
  <c r="I173" i="2"/>
  <c r="G173" i="2"/>
  <c r="E173" i="2"/>
  <c r="C173" i="2"/>
  <c r="I172" i="2"/>
  <c r="G172" i="2"/>
  <c r="E172" i="2"/>
  <c r="C172" i="2"/>
  <c r="I171" i="2"/>
  <c r="G171" i="2"/>
  <c r="E171" i="2"/>
  <c r="C171" i="2"/>
  <c r="I170" i="2"/>
  <c r="G170" i="2"/>
  <c r="E170" i="2"/>
  <c r="C170" i="2"/>
  <c r="I169" i="2"/>
  <c r="G169" i="2"/>
  <c r="E169" i="2"/>
  <c r="C169" i="2"/>
  <c r="I168" i="2"/>
  <c r="G168" i="2"/>
  <c r="E168" i="2"/>
  <c r="C168" i="2"/>
  <c r="I167" i="2"/>
  <c r="G167" i="2"/>
  <c r="E167" i="2"/>
  <c r="C167" i="2"/>
  <c r="I166" i="2"/>
  <c r="G166" i="2"/>
  <c r="E166" i="2"/>
  <c r="C166" i="2"/>
  <c r="I165" i="2"/>
  <c r="G165" i="2"/>
  <c r="E165" i="2"/>
  <c r="C165" i="2"/>
  <c r="I164" i="2"/>
  <c r="G164" i="2"/>
  <c r="E164" i="2"/>
  <c r="C164" i="2"/>
  <c r="I163" i="2"/>
  <c r="G163" i="2"/>
  <c r="E163" i="2"/>
  <c r="C163" i="2"/>
  <c r="I162" i="2"/>
  <c r="G162" i="2"/>
  <c r="E162" i="2"/>
  <c r="C162" i="2"/>
  <c r="I161" i="2"/>
  <c r="G161" i="2"/>
  <c r="E161" i="2"/>
  <c r="C161" i="2"/>
  <c r="I160" i="2"/>
  <c r="G160" i="2"/>
  <c r="E160" i="2"/>
  <c r="C160" i="2"/>
  <c r="I159" i="2"/>
  <c r="G159" i="2"/>
  <c r="E159" i="2"/>
  <c r="C159" i="2"/>
  <c r="I158" i="2"/>
  <c r="G158" i="2"/>
  <c r="E158" i="2"/>
  <c r="C158" i="2"/>
  <c r="I157" i="2"/>
  <c r="G157" i="2"/>
  <c r="E157" i="2"/>
  <c r="C157" i="2"/>
  <c r="I156" i="2"/>
  <c r="G156" i="2"/>
  <c r="E156" i="2"/>
  <c r="C156" i="2"/>
  <c r="I155" i="2"/>
  <c r="G155" i="2"/>
  <c r="E155" i="2"/>
  <c r="C155" i="2"/>
  <c r="I154" i="2"/>
  <c r="G154" i="2"/>
  <c r="E154" i="2"/>
  <c r="C154" i="2"/>
  <c r="I153" i="2"/>
  <c r="G153" i="2"/>
  <c r="E153" i="2"/>
  <c r="C153" i="2"/>
  <c r="I152" i="2"/>
  <c r="G152" i="2"/>
  <c r="E152" i="2"/>
  <c r="C152" i="2"/>
  <c r="I151" i="2"/>
  <c r="G151" i="2"/>
  <c r="E151" i="2"/>
  <c r="C151" i="2"/>
  <c r="I150" i="2"/>
  <c r="G150" i="2"/>
  <c r="E150" i="2"/>
  <c r="C150" i="2"/>
  <c r="I149" i="2"/>
  <c r="G149" i="2"/>
  <c r="E149" i="2"/>
  <c r="C149" i="2"/>
  <c r="I148" i="2"/>
  <c r="G148" i="2"/>
  <c r="E148" i="2"/>
  <c r="C148" i="2"/>
  <c r="I147" i="2"/>
  <c r="G147" i="2"/>
  <c r="E147" i="2"/>
  <c r="C147" i="2"/>
  <c r="I146" i="2"/>
  <c r="G146" i="2"/>
  <c r="E146" i="2"/>
  <c r="C146" i="2"/>
  <c r="I145" i="2"/>
  <c r="G145" i="2"/>
  <c r="E145" i="2"/>
  <c r="C145" i="2"/>
  <c r="I144" i="2"/>
  <c r="G144" i="2"/>
  <c r="E144" i="2"/>
  <c r="C144" i="2"/>
  <c r="I143" i="2"/>
  <c r="G143" i="2"/>
  <c r="E143" i="2"/>
  <c r="C143" i="2"/>
  <c r="I142" i="2"/>
  <c r="G142" i="2"/>
  <c r="E142" i="2"/>
  <c r="C142" i="2"/>
  <c r="I141" i="2"/>
  <c r="G141" i="2"/>
  <c r="E141" i="2"/>
  <c r="C141" i="2"/>
  <c r="I140" i="2"/>
  <c r="G140" i="2"/>
  <c r="E140" i="2"/>
  <c r="C140" i="2"/>
  <c r="I139" i="2"/>
  <c r="G139" i="2"/>
  <c r="E139" i="2"/>
  <c r="C139" i="2"/>
  <c r="I138" i="2"/>
  <c r="G138" i="2"/>
  <c r="E138" i="2"/>
  <c r="C138" i="2"/>
  <c r="I137" i="2"/>
  <c r="G137" i="2"/>
  <c r="E137" i="2"/>
  <c r="C137" i="2"/>
  <c r="I136" i="2"/>
  <c r="G136" i="2"/>
  <c r="E136" i="2"/>
  <c r="C136" i="2"/>
  <c r="I135" i="2"/>
  <c r="G135" i="2"/>
  <c r="E135" i="2"/>
  <c r="C135" i="2"/>
  <c r="I134" i="2"/>
  <c r="G134" i="2"/>
  <c r="E134" i="2"/>
  <c r="C134" i="2"/>
  <c r="I133" i="2"/>
  <c r="G133" i="2"/>
  <c r="E133" i="2"/>
  <c r="C133" i="2"/>
  <c r="I132" i="2"/>
  <c r="G132" i="2"/>
  <c r="E132" i="2"/>
  <c r="C132" i="2"/>
  <c r="I131" i="2"/>
  <c r="G131" i="2"/>
  <c r="E131" i="2"/>
  <c r="C131" i="2"/>
  <c r="I130" i="2"/>
  <c r="G130" i="2"/>
  <c r="E130" i="2"/>
  <c r="C130" i="2"/>
  <c r="I129" i="2"/>
  <c r="G129" i="2"/>
  <c r="E129" i="2"/>
  <c r="C129" i="2"/>
  <c r="I128" i="2"/>
  <c r="G128" i="2"/>
  <c r="E128" i="2"/>
  <c r="C128" i="2"/>
  <c r="I127" i="2"/>
  <c r="G127" i="2"/>
  <c r="E127" i="2"/>
  <c r="C127" i="2"/>
  <c r="I126" i="2"/>
  <c r="G126" i="2"/>
  <c r="E126" i="2"/>
  <c r="C126" i="2"/>
  <c r="I125" i="2"/>
  <c r="G125" i="2"/>
  <c r="E125" i="2"/>
  <c r="C125" i="2"/>
  <c r="I124" i="2"/>
  <c r="G124" i="2"/>
  <c r="E124" i="2"/>
  <c r="C124" i="2"/>
  <c r="I123" i="2"/>
  <c r="G123" i="2"/>
  <c r="E123" i="2"/>
  <c r="C123" i="2"/>
  <c r="I122" i="2"/>
  <c r="G122" i="2"/>
  <c r="E122" i="2"/>
  <c r="C122" i="2"/>
  <c r="I121" i="2"/>
  <c r="G121" i="2"/>
  <c r="E121" i="2"/>
  <c r="C121" i="2"/>
  <c r="I120" i="2"/>
  <c r="G120" i="2"/>
  <c r="E120" i="2"/>
  <c r="C120" i="2"/>
  <c r="I119" i="2"/>
  <c r="G119" i="2"/>
  <c r="E119" i="2"/>
  <c r="C119" i="2"/>
  <c r="I118" i="2"/>
  <c r="G118" i="2"/>
  <c r="E118" i="2"/>
  <c r="C118" i="2"/>
  <c r="I117" i="2"/>
  <c r="G117" i="2"/>
  <c r="E117" i="2"/>
  <c r="C117" i="2"/>
  <c r="I116" i="2"/>
  <c r="G116" i="2"/>
  <c r="E116" i="2"/>
  <c r="C116" i="2"/>
  <c r="I115" i="2"/>
  <c r="G115" i="2"/>
  <c r="E115" i="2"/>
  <c r="C115" i="2"/>
  <c r="I114" i="2"/>
  <c r="G114" i="2"/>
  <c r="E114" i="2"/>
  <c r="C114" i="2"/>
  <c r="I113" i="2"/>
  <c r="G113" i="2"/>
  <c r="E113" i="2"/>
  <c r="C113" i="2"/>
  <c r="I112" i="2"/>
  <c r="G112" i="2"/>
  <c r="E112" i="2"/>
  <c r="C112" i="2"/>
  <c r="I111" i="2"/>
  <c r="G111" i="2"/>
  <c r="E111" i="2"/>
  <c r="C111" i="2"/>
  <c r="I110" i="2"/>
  <c r="G110" i="2"/>
  <c r="E110" i="2"/>
  <c r="C110" i="2"/>
  <c r="I109" i="2"/>
  <c r="G109" i="2"/>
  <c r="E109" i="2"/>
  <c r="C109" i="2"/>
  <c r="I108" i="2"/>
  <c r="G108" i="2"/>
  <c r="E108" i="2"/>
  <c r="C108" i="2"/>
  <c r="I107" i="2"/>
  <c r="G107" i="2"/>
  <c r="E107" i="2"/>
  <c r="C107" i="2"/>
  <c r="I106" i="2"/>
  <c r="G106" i="2"/>
  <c r="E106" i="2"/>
  <c r="C106" i="2"/>
  <c r="I105" i="2"/>
  <c r="G105" i="2"/>
  <c r="E105" i="2"/>
  <c r="C105" i="2"/>
  <c r="I104" i="2"/>
  <c r="G104" i="2"/>
  <c r="E104" i="2"/>
  <c r="C104" i="2"/>
  <c r="I103" i="2"/>
  <c r="G103" i="2"/>
  <c r="E103" i="2"/>
  <c r="C103" i="2"/>
  <c r="I102" i="2"/>
  <c r="G102" i="2"/>
  <c r="E102" i="2"/>
  <c r="C102" i="2"/>
  <c r="I101" i="2"/>
  <c r="G101" i="2"/>
  <c r="E101" i="2"/>
  <c r="C101" i="2"/>
  <c r="I100" i="2"/>
  <c r="G100" i="2"/>
  <c r="E100" i="2"/>
  <c r="C100" i="2"/>
  <c r="I99" i="2"/>
  <c r="G99" i="2"/>
  <c r="E99" i="2"/>
  <c r="C99" i="2"/>
  <c r="I98" i="2"/>
  <c r="G98" i="2"/>
  <c r="E98" i="2"/>
  <c r="C98" i="2"/>
  <c r="I97" i="2"/>
  <c r="G97" i="2"/>
  <c r="E97" i="2"/>
  <c r="C97" i="2"/>
  <c r="I96" i="2"/>
  <c r="G96" i="2"/>
  <c r="E96" i="2"/>
  <c r="C96" i="2"/>
  <c r="I95" i="2"/>
  <c r="G95" i="2"/>
  <c r="E95" i="2"/>
  <c r="C95" i="2"/>
  <c r="I94" i="2"/>
  <c r="G94" i="2"/>
  <c r="E94" i="2"/>
  <c r="C94" i="2"/>
  <c r="I93" i="2"/>
  <c r="G93" i="2"/>
  <c r="E93" i="2"/>
  <c r="C93" i="2"/>
  <c r="I92" i="2"/>
  <c r="G92" i="2"/>
  <c r="E92" i="2"/>
  <c r="C92" i="2"/>
  <c r="I91" i="2"/>
  <c r="G91" i="2"/>
  <c r="E91" i="2"/>
  <c r="C91" i="2"/>
  <c r="I90" i="2"/>
  <c r="G90" i="2"/>
  <c r="E90" i="2"/>
  <c r="C90" i="2"/>
  <c r="I89" i="2"/>
  <c r="G89" i="2"/>
  <c r="E89" i="2"/>
  <c r="C89" i="2"/>
  <c r="I88" i="2"/>
  <c r="G88" i="2"/>
  <c r="E88" i="2"/>
  <c r="C88" i="2"/>
  <c r="I87" i="2"/>
  <c r="G87" i="2"/>
  <c r="E87" i="2"/>
  <c r="C87" i="2"/>
  <c r="I86" i="2"/>
  <c r="G86" i="2"/>
  <c r="E86" i="2"/>
  <c r="C86" i="2"/>
  <c r="I85" i="2"/>
  <c r="G85" i="2"/>
  <c r="E85" i="2"/>
  <c r="C85" i="2"/>
  <c r="I84" i="2"/>
  <c r="G84" i="2"/>
  <c r="E84" i="2"/>
  <c r="C84" i="2"/>
  <c r="I83" i="2"/>
  <c r="G83" i="2"/>
  <c r="E83" i="2"/>
  <c r="C83" i="2"/>
  <c r="I82" i="2"/>
  <c r="G82" i="2"/>
  <c r="E82" i="2"/>
  <c r="C82" i="2"/>
  <c r="I81" i="2"/>
  <c r="G81" i="2"/>
  <c r="E81" i="2"/>
  <c r="C81" i="2"/>
  <c r="I80" i="2"/>
  <c r="G80" i="2"/>
  <c r="E80" i="2"/>
  <c r="C80" i="2"/>
  <c r="I79" i="2"/>
  <c r="G79" i="2"/>
  <c r="E79" i="2"/>
  <c r="C79" i="2"/>
  <c r="I78" i="2"/>
  <c r="G78" i="2"/>
  <c r="E78" i="2"/>
  <c r="C78" i="2"/>
  <c r="I77" i="2"/>
  <c r="G77" i="2"/>
  <c r="E77" i="2"/>
  <c r="C77" i="2"/>
  <c r="I76" i="2"/>
  <c r="G76" i="2"/>
  <c r="E76" i="2"/>
  <c r="C76" i="2"/>
  <c r="I75" i="2"/>
  <c r="G75" i="2"/>
  <c r="E75" i="2"/>
  <c r="C75" i="2"/>
  <c r="I74" i="2"/>
  <c r="G74" i="2"/>
  <c r="E74" i="2"/>
  <c r="C74" i="2"/>
  <c r="I73" i="2"/>
  <c r="G73" i="2"/>
  <c r="E73" i="2"/>
  <c r="C73" i="2"/>
  <c r="I72" i="2"/>
  <c r="G72" i="2"/>
  <c r="E72" i="2"/>
  <c r="C72" i="2"/>
  <c r="I71" i="2"/>
  <c r="G71" i="2"/>
  <c r="E71" i="2"/>
  <c r="C71" i="2"/>
  <c r="I70" i="2"/>
  <c r="G70" i="2"/>
  <c r="E70" i="2"/>
  <c r="C70" i="2"/>
  <c r="I69" i="2"/>
  <c r="G69" i="2"/>
  <c r="E69" i="2"/>
  <c r="C69" i="2"/>
  <c r="I68" i="2"/>
  <c r="G68" i="2"/>
  <c r="E68" i="2"/>
  <c r="C68" i="2"/>
  <c r="I67" i="2"/>
  <c r="G67" i="2"/>
  <c r="E67" i="2"/>
  <c r="C67" i="2"/>
  <c r="I66" i="2"/>
  <c r="G66" i="2"/>
  <c r="E66" i="2"/>
  <c r="C66" i="2"/>
  <c r="I65" i="2"/>
  <c r="G65" i="2"/>
  <c r="E65" i="2"/>
  <c r="C65" i="2"/>
  <c r="I64" i="2"/>
  <c r="G64" i="2"/>
  <c r="E64" i="2"/>
  <c r="C64" i="2"/>
  <c r="I63" i="2"/>
  <c r="G63" i="2"/>
  <c r="E63" i="2"/>
  <c r="C63" i="2"/>
  <c r="I62" i="2"/>
  <c r="G62" i="2"/>
  <c r="E62" i="2"/>
  <c r="C62" i="2"/>
  <c r="I61" i="2"/>
  <c r="G61" i="2"/>
  <c r="E61" i="2"/>
  <c r="C61" i="2"/>
  <c r="I60" i="2"/>
  <c r="G60" i="2"/>
  <c r="E60" i="2"/>
  <c r="C60" i="2"/>
  <c r="I59" i="2"/>
  <c r="G59" i="2"/>
  <c r="E59" i="2"/>
  <c r="C59" i="2"/>
  <c r="I58" i="2"/>
  <c r="G58" i="2"/>
  <c r="E58" i="2"/>
  <c r="C58" i="2"/>
  <c r="I57" i="2"/>
  <c r="G57" i="2"/>
  <c r="E57" i="2"/>
  <c r="C57" i="2"/>
  <c r="I56" i="2"/>
  <c r="G56" i="2"/>
  <c r="E56" i="2"/>
  <c r="C56" i="2"/>
  <c r="I55" i="2"/>
  <c r="G55" i="2"/>
  <c r="E55" i="2"/>
  <c r="C55" i="2"/>
  <c r="I54" i="2"/>
  <c r="G54" i="2"/>
  <c r="E54" i="2"/>
  <c r="C54" i="2"/>
  <c r="I53" i="2"/>
  <c r="G53" i="2"/>
  <c r="E53" i="2"/>
  <c r="C53" i="2"/>
  <c r="I52" i="2"/>
  <c r="G52" i="2"/>
  <c r="E52" i="2"/>
  <c r="C52" i="2"/>
  <c r="I51" i="2"/>
  <c r="G51" i="2"/>
  <c r="E51" i="2"/>
  <c r="C51" i="2"/>
  <c r="I50" i="2"/>
  <c r="G50" i="2"/>
  <c r="E50" i="2"/>
  <c r="C50" i="2"/>
  <c r="I49" i="2"/>
  <c r="G49" i="2"/>
  <c r="E49" i="2"/>
  <c r="C49" i="2"/>
  <c r="I48" i="2"/>
  <c r="G48" i="2"/>
  <c r="E48" i="2"/>
  <c r="C48" i="2"/>
  <c r="I47" i="2"/>
  <c r="G47" i="2"/>
  <c r="E47" i="2"/>
  <c r="C47" i="2"/>
  <c r="I46" i="2"/>
  <c r="G46" i="2"/>
  <c r="E46" i="2"/>
  <c r="C46" i="2"/>
  <c r="I45" i="2"/>
  <c r="G45" i="2"/>
  <c r="E45" i="2"/>
  <c r="C45" i="2"/>
  <c r="I44" i="2"/>
  <c r="G44" i="2"/>
  <c r="E44" i="2"/>
  <c r="C44" i="2"/>
  <c r="I43" i="2"/>
  <c r="G43" i="2"/>
  <c r="E43" i="2"/>
  <c r="C43" i="2"/>
  <c r="I42" i="2"/>
  <c r="G42" i="2"/>
  <c r="E42" i="2"/>
  <c r="C42" i="2"/>
  <c r="I41" i="2"/>
  <c r="G41" i="2"/>
  <c r="E41" i="2"/>
  <c r="C41" i="2"/>
  <c r="I40" i="2"/>
  <c r="G40" i="2"/>
  <c r="E40" i="2"/>
  <c r="C40" i="2"/>
  <c r="I39" i="2"/>
  <c r="G39" i="2"/>
  <c r="E39" i="2"/>
  <c r="C39" i="2"/>
  <c r="I38" i="2"/>
  <c r="G38" i="2"/>
  <c r="E38" i="2"/>
  <c r="C38" i="2"/>
  <c r="I37" i="2"/>
  <c r="G37" i="2"/>
  <c r="E37" i="2"/>
  <c r="C37" i="2"/>
  <c r="I36" i="2"/>
  <c r="G36" i="2"/>
  <c r="E36" i="2"/>
  <c r="C36" i="2"/>
  <c r="I35" i="2"/>
  <c r="G35" i="2"/>
  <c r="E35" i="2"/>
  <c r="C35" i="2"/>
  <c r="I34" i="2"/>
  <c r="G34" i="2"/>
  <c r="E34" i="2"/>
  <c r="C34" i="2"/>
  <c r="I33" i="2"/>
  <c r="G33" i="2"/>
  <c r="E33" i="2"/>
  <c r="C33" i="2"/>
  <c r="I32" i="2"/>
  <c r="G32" i="2"/>
  <c r="E32" i="2"/>
  <c r="C32" i="2"/>
  <c r="I31" i="2"/>
  <c r="G31" i="2"/>
  <c r="E31" i="2"/>
  <c r="C31" i="2"/>
  <c r="I30" i="2"/>
  <c r="G30" i="2"/>
  <c r="E30" i="2"/>
  <c r="C30" i="2"/>
  <c r="I29" i="2"/>
  <c r="G29" i="2"/>
  <c r="E29" i="2"/>
  <c r="C29" i="2"/>
  <c r="I28" i="2"/>
  <c r="G28" i="2"/>
  <c r="E28" i="2"/>
  <c r="C28" i="2"/>
  <c r="I27" i="2"/>
  <c r="G27" i="2"/>
  <c r="E27" i="2"/>
  <c r="C27" i="2"/>
  <c r="I26" i="2"/>
  <c r="G26" i="2"/>
  <c r="E26" i="2"/>
  <c r="C26" i="2"/>
  <c r="I25" i="2"/>
  <c r="G25" i="2"/>
  <c r="E25" i="2"/>
  <c r="C25" i="2"/>
  <c r="I24" i="2"/>
  <c r="G24" i="2"/>
  <c r="E24" i="2"/>
  <c r="C24" i="2"/>
  <c r="I23" i="2"/>
  <c r="G23" i="2"/>
  <c r="E23" i="2"/>
  <c r="C23" i="2"/>
  <c r="I22" i="2"/>
  <c r="G22" i="2"/>
  <c r="E22" i="2"/>
  <c r="C22" i="2"/>
  <c r="I21" i="2"/>
  <c r="G21" i="2"/>
  <c r="E21" i="2"/>
  <c r="C21" i="2"/>
  <c r="I20" i="2"/>
  <c r="G20" i="2"/>
  <c r="E20" i="2"/>
  <c r="C20" i="2"/>
  <c r="I19" i="2"/>
  <c r="G19" i="2"/>
  <c r="E19" i="2"/>
  <c r="C19" i="2"/>
  <c r="I18" i="2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  <c r="I4" i="2"/>
  <c r="G4" i="2"/>
  <c r="E4" i="2"/>
  <c r="C4" i="2"/>
  <c r="I3" i="2"/>
  <c r="G3" i="2"/>
  <c r="E3" i="2"/>
  <c r="C3" i="2"/>
  <c r="I2" i="2"/>
  <c r="G2" i="2"/>
  <c r="E2" i="2"/>
  <c r="C2" i="2"/>
  <c r="H23" i="1"/>
  <c r="F23" i="1"/>
  <c r="C23" i="1"/>
  <c r="H22" i="1"/>
  <c r="F22" i="1"/>
  <c r="C22" i="1"/>
  <c r="H21" i="1"/>
  <c r="F21" i="1"/>
  <c r="C21" i="1"/>
  <c r="H20" i="1"/>
  <c r="F20" i="1"/>
  <c r="C20" i="1"/>
  <c r="H19" i="1"/>
  <c r="F19" i="1"/>
  <c r="C19" i="1"/>
  <c r="H18" i="1"/>
  <c r="F18" i="1"/>
  <c r="C18" i="1"/>
  <c r="H17" i="1"/>
  <c r="F17" i="1"/>
  <c r="C17" i="1"/>
  <c r="H16" i="1"/>
  <c r="F16" i="1"/>
  <c r="C16" i="1"/>
  <c r="H15" i="1"/>
  <c r="F15" i="1"/>
  <c r="C15" i="1"/>
  <c r="H14" i="1"/>
  <c r="F14" i="1"/>
  <c r="C14" i="1"/>
  <c r="H13" i="1"/>
  <c r="F13" i="1"/>
  <c r="C13" i="1"/>
  <c r="H12" i="1"/>
  <c r="F12" i="1"/>
  <c r="C12" i="1"/>
  <c r="H11" i="1"/>
  <c r="F11" i="1"/>
  <c r="C11" i="1"/>
  <c r="H10" i="1"/>
  <c r="F10" i="1"/>
  <c r="C10" i="1"/>
  <c r="H9" i="1"/>
  <c r="F9" i="1"/>
  <c r="C9" i="1"/>
  <c r="H8" i="1"/>
  <c r="F8" i="1"/>
  <c r="C8" i="1"/>
  <c r="H7" i="1"/>
  <c r="F7" i="1"/>
  <c r="C7" i="1"/>
  <c r="H6" i="1"/>
  <c r="F6" i="1"/>
  <c r="C6" i="1"/>
  <c r="H5" i="1"/>
  <c r="F5" i="1"/>
  <c r="C5" i="1"/>
  <c r="H4" i="1"/>
  <c r="F4" i="1"/>
  <c r="C4" i="1"/>
  <c r="H3" i="1"/>
  <c r="F3" i="1"/>
  <c r="C3" i="1"/>
  <c r="H2" i="1"/>
  <c r="F2" i="1"/>
  <c r="C2" i="1"/>
</calcChain>
</file>

<file path=xl/sharedStrings.xml><?xml version="1.0" encoding="utf-8"?>
<sst xmlns="http://schemas.openxmlformats.org/spreadsheetml/2006/main" count="4001" uniqueCount="1167">
  <si>
    <t>№</t>
  </si>
  <si>
    <t>ID_Направление</t>
  </si>
  <si>
    <t>Направление бизнеса</t>
  </si>
  <si>
    <t>Подразделение в орг. структуре</t>
  </si>
  <si>
    <t>ID_Руководитель</t>
  </si>
  <si>
    <t>Руководитель направления</t>
  </si>
  <si>
    <t>ID_HR_BP</t>
  </si>
  <si>
    <t>HR BP</t>
  </si>
  <si>
    <t>Компаний-конкурентов</t>
  </si>
  <si>
    <t>Типовых должностей</t>
  </si>
  <si>
    <t>Н1</t>
  </si>
  <si>
    <t>Главная лаборатория</t>
  </si>
  <si>
    <t>Ч35</t>
  </si>
  <si>
    <t>Ч32</t>
  </si>
  <si>
    <t>Н2</t>
  </si>
  <si>
    <t>Департамент бройлерного направления</t>
  </si>
  <si>
    <t>Ч73</t>
  </si>
  <si>
    <t>Ч21</t>
  </si>
  <si>
    <t>Н3</t>
  </si>
  <si>
    <t>Департамент дистрибуции</t>
  </si>
  <si>
    <t>Ч95</t>
  </si>
  <si>
    <t>Ч40</t>
  </si>
  <si>
    <t>Н4</t>
  </si>
  <si>
    <t>Департамент снабжения и логистики</t>
  </si>
  <si>
    <t>Ч63</t>
  </si>
  <si>
    <t>Н5</t>
  </si>
  <si>
    <t>Департамент по работе с государственными органами</t>
  </si>
  <si>
    <t>Ч80</t>
  </si>
  <si>
    <t>Ч87</t>
  </si>
  <si>
    <t>Н6</t>
  </si>
  <si>
    <t>Департамент оптовых продаж</t>
  </si>
  <si>
    <t>Ч89</t>
  </si>
  <si>
    <t>Н7</t>
  </si>
  <si>
    <t>Департамент развития</t>
  </si>
  <si>
    <t>Ч10</t>
  </si>
  <si>
    <t>Ч116</t>
  </si>
  <si>
    <t>Н8</t>
  </si>
  <si>
    <t>Н9</t>
  </si>
  <si>
    <t>Дивизион производства масла</t>
  </si>
  <si>
    <t>Ч8</t>
  </si>
  <si>
    <t>Н10</t>
  </si>
  <si>
    <t>Дивизион производства металлоизделий</t>
  </si>
  <si>
    <t>Ч79</t>
  </si>
  <si>
    <t>Ч83</t>
  </si>
  <si>
    <t>Н11</t>
  </si>
  <si>
    <t>Птицефабрика яичного производства Д1</t>
  </si>
  <si>
    <t>Ч23</t>
  </si>
  <si>
    <t>Н12</t>
  </si>
  <si>
    <t>Департамент маркетинга</t>
  </si>
  <si>
    <t>Ч7</t>
  </si>
  <si>
    <t>Н13</t>
  </si>
  <si>
    <t>Отдел продаж комбикормов</t>
  </si>
  <si>
    <t>Ч68</t>
  </si>
  <si>
    <t>Н14</t>
  </si>
  <si>
    <t>Проектный офис</t>
  </si>
  <si>
    <t>Ч6</t>
  </si>
  <si>
    <t>Н15</t>
  </si>
  <si>
    <t>Департамент производства комбикормов</t>
  </si>
  <si>
    <t>Ч104</t>
  </si>
  <si>
    <t>Н16</t>
  </si>
  <si>
    <t>Департамент производства муки</t>
  </si>
  <si>
    <t>Ч34</t>
  </si>
  <si>
    <t>Н17</t>
  </si>
  <si>
    <t>Завод ЖБИ Худжанд-1 + _Завод ЖБИ Худжанд-2 (Дивизион строительного направления)</t>
  </si>
  <si>
    <t>Ч110</t>
  </si>
  <si>
    <t>Н18</t>
  </si>
  <si>
    <t>Кирпичный завод КЗ-1</t>
  </si>
  <si>
    <t>Ч106</t>
  </si>
  <si>
    <t>Н19</t>
  </si>
  <si>
    <t>Завод РБУ Худжанд-1 + _Завод РБУ Худжанд-2 (Дивизион строительного направления)</t>
  </si>
  <si>
    <t>Ч117</t>
  </si>
  <si>
    <t>Н20</t>
  </si>
  <si>
    <t>Дивизион строительного направления (Гравийный завод Г1: Абдувохидов Шерози Шарифчонович; Гравийный завод Г2: Неъматов Анушервон Нозимчонович)</t>
  </si>
  <si>
    <t>Ч2</t>
  </si>
  <si>
    <t>Н21</t>
  </si>
  <si>
    <t>Служба внутреннего аудита</t>
  </si>
  <si>
    <t>Ч64</t>
  </si>
  <si>
    <t>Н22</t>
  </si>
  <si>
    <t>Финансовый департамент</t>
  </si>
  <si>
    <t>Ч13</t>
  </si>
  <si>
    <t>Ч118</t>
  </si>
  <si>
    <t>ID_Компания</t>
  </si>
  <si>
    <t>Компания-конкурент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</si>
  <si>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</si>
  <si>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</si>
  <si>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</si>
  <si>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</si>
  <si>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</si>
  <si>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</si>
  <si>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</si>
  <si>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</si>
  <si>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</si>
  <si>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</si>
  <si>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</si>
  <si>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</si>
  <si>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</si>
  <si>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</si>
  <si>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</si>
  <si>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</si>
  <si>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</si>
  <si>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К18</t>
  </si>
  <si>
    <t>К19</t>
  </si>
  <si>
    <t>К20</t>
  </si>
  <si>
    <t>К21</t>
  </si>
  <si>
    <t>К22</t>
  </si>
  <si>
    <t>К23</t>
  </si>
  <si>
    <t>К24</t>
  </si>
  <si>
    <t>К25</t>
  </si>
  <si>
    <t>К26</t>
  </si>
  <si>
    <t>К27</t>
  </si>
  <si>
    <t>К28</t>
  </si>
  <si>
    <t>К29</t>
  </si>
  <si>
    <t>К30</t>
  </si>
  <si>
    <t>К31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</si>
  <si>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</si>
  <si>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</si>
  <si>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</si>
  <si>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</si>
  <si>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</si>
  <si>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</si>
  <si>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</si>
  <si>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</si>
  <si>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</si>
  <si>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</si>
  <si>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</si>
  <si>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</si>
  <si>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</si>
  <si>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</si>
  <si>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</si>
  <si>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</si>
  <si>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</si>
  <si>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</si>
  <si>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</si>
  <si>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</si>
  <si>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</si>
  <si>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</si>
  <si>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</si>
  <si>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</si>
  <si>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К56</t>
  </si>
  <si>
    <t>К57</t>
  </si>
  <si>
    <t>К58</t>
  </si>
  <si>
    <t>К59</t>
  </si>
  <si>
    <t>К60</t>
  </si>
  <si>
    <t>К61</t>
  </si>
  <si>
    <t>К62</t>
  </si>
  <si>
    <t>К63</t>
  </si>
  <si>
    <t>К64</t>
  </si>
  <si>
    <t>К65</t>
  </si>
  <si>
    <t>К66</t>
  </si>
  <si>
    <t>К67</t>
  </si>
  <si>
    <t>К68</t>
  </si>
  <si>
    <t>К69</t>
  </si>
  <si>
    <t>К70</t>
  </si>
  <si>
    <t>К71</t>
  </si>
  <si>
    <t>К72</t>
  </si>
  <si>
    <t>К73</t>
  </si>
  <si>
    <t>К74</t>
  </si>
  <si>
    <t>К75</t>
  </si>
  <si>
    <t>К76</t>
  </si>
  <si>
    <t>К77</t>
  </si>
  <si>
    <t>К78</t>
  </si>
  <si>
    <t>К79</t>
  </si>
  <si>
    <t>К80</t>
  </si>
  <si>
    <t>К81</t>
  </si>
  <si>
    <t>К82</t>
  </si>
  <si>
    <t>К83</t>
  </si>
  <si>
    <t>К84</t>
  </si>
  <si>
    <t>К85</t>
  </si>
  <si>
    <t>К86</t>
  </si>
  <si>
    <t>К87</t>
  </si>
  <si>
    <t>К88</t>
  </si>
  <si>
    <t>К89</t>
  </si>
  <si>
    <t>К90</t>
  </si>
  <si>
    <t>К91</t>
  </si>
  <si>
    <t>К92</t>
  </si>
  <si>
    <t>К93</t>
  </si>
  <si>
    <t>К94</t>
  </si>
  <si>
    <t>К95</t>
  </si>
  <si>
    <t>К96</t>
  </si>
  <si>
    <t>К97</t>
  </si>
  <si>
    <t>К98</t>
  </si>
  <si>
    <t>К99</t>
  </si>
  <si>
    <t>К100</t>
  </si>
  <si>
    <t>К101</t>
  </si>
  <si>
    <t>К102</t>
  </si>
  <si>
    <t>К103</t>
  </si>
  <si>
    <t>К104</t>
  </si>
  <si>
    <t>К105</t>
  </si>
  <si>
    <t>К106</t>
  </si>
  <si>
    <t>К107</t>
  </si>
  <si>
    <t>К108</t>
  </si>
  <si>
    <t>К109</t>
  </si>
  <si>
    <t>К110</t>
  </si>
  <si>
    <t>К111</t>
  </si>
  <si>
    <t>К112</t>
  </si>
  <si>
    <t>К113</t>
  </si>
  <si>
    <t>К114</t>
  </si>
  <si>
    <t>К115</t>
  </si>
  <si>
    <t>К116</t>
  </si>
  <si>
    <t>К117</t>
  </si>
  <si>
    <t>К118</t>
  </si>
  <si>
    <t>К119</t>
  </si>
  <si>
    <t>К120</t>
  </si>
  <si>
    <t>К121</t>
  </si>
  <si>
    <t>К122</t>
  </si>
  <si>
    <t>К123</t>
  </si>
  <si>
    <t>К124</t>
  </si>
  <si>
    <t>К125</t>
  </si>
  <si>
    <t>К126</t>
  </si>
  <si>
    <t>К127</t>
  </si>
  <si>
    <t>К128</t>
  </si>
  <si>
    <t>К129</t>
  </si>
  <si>
    <t>К130</t>
  </si>
  <si>
    <t>К131</t>
  </si>
  <si>
    <t>К132</t>
  </si>
  <si>
    <t>К133</t>
  </si>
  <si>
    <t>К134</t>
  </si>
  <si>
    <t>К135</t>
  </si>
  <si>
    <t>К136</t>
  </si>
  <si>
    <t>К137</t>
  </si>
  <si>
    <t>К138</t>
  </si>
  <si>
    <t>К139</t>
  </si>
  <si>
    <t>К140</t>
  </si>
  <si>
    <t>К141</t>
  </si>
  <si>
    <t>К142</t>
  </si>
  <si>
    <t>К143</t>
  </si>
  <si>
    <t>К144</t>
  </si>
  <si>
    <t>К145</t>
  </si>
  <si>
    <t>К146</t>
  </si>
  <si>
    <t>К147</t>
  </si>
  <si>
    <t>К148</t>
  </si>
  <si>
    <t>К149</t>
  </si>
  <si>
    <t>К150</t>
  </si>
  <si>
    <t>К151</t>
  </si>
  <si>
    <t>К152</t>
  </si>
  <si>
    <t>К153</t>
  </si>
  <si>
    <t>К154</t>
  </si>
  <si>
    <t>К155</t>
  </si>
  <si>
    <t>К156</t>
  </si>
  <si>
    <t>К157</t>
  </si>
  <si>
    <t>К158</t>
  </si>
  <si>
    <t>К159</t>
  </si>
  <si>
    <t>К160</t>
  </si>
  <si>
    <t>К161</t>
  </si>
  <si>
    <t>К162</t>
  </si>
  <si>
    <t>К163</t>
  </si>
  <si>
    <t>ID_Должность</t>
  </si>
  <si>
    <t>Должность</t>
  </si>
  <si>
    <t>Д1</t>
  </si>
  <si>
    <t>Д2</t>
  </si>
  <si>
    <t>Д3</t>
  </si>
  <si>
    <t>Д4</t>
  </si>
  <si>
    <t>Д5</t>
  </si>
  <si>
    <t>Д6</t>
  </si>
  <si>
    <t>Д7</t>
  </si>
  <si>
    <t>Д8</t>
  </si>
  <si>
    <t>Д9</t>
  </si>
  <si>
    <t>Д10</t>
  </si>
  <si>
    <t>Д11</t>
  </si>
  <si>
    <t>Д12</t>
  </si>
  <si>
    <t>Д13</t>
  </si>
  <si>
    <t>Д14</t>
  </si>
  <si>
    <t>Д15</t>
  </si>
  <si>
    <t>Д16</t>
  </si>
  <si>
    <t>Д17</t>
  </si>
  <si>
    <t>Д18</t>
  </si>
  <si>
    <t>Д19</t>
  </si>
  <si>
    <t>Д20</t>
  </si>
  <si>
    <t>Д21</t>
  </si>
  <si>
    <t>Д22</t>
  </si>
  <si>
    <t>Д23</t>
  </si>
  <si>
    <t>Д24</t>
  </si>
  <si>
    <t>Д25</t>
  </si>
  <si>
    <t>Д26</t>
  </si>
  <si>
    <t>Д27</t>
  </si>
  <si>
    <t>Д28</t>
  </si>
  <si>
    <t>Д29</t>
  </si>
  <si>
    <t>Д30</t>
  </si>
  <si>
    <t>Д31</t>
  </si>
  <si>
    <t>Д32</t>
  </si>
  <si>
    <t>Д33</t>
  </si>
  <si>
    <t>Д34</t>
  </si>
  <si>
    <t>Д35</t>
  </si>
  <si>
    <t>Д36</t>
  </si>
  <si>
    <t>Д37</t>
  </si>
  <si>
    <t>Д38</t>
  </si>
  <si>
    <t>Д39</t>
  </si>
  <si>
    <t>Д40</t>
  </si>
  <si>
    <t>Д41</t>
  </si>
  <si>
    <t>Д42</t>
  </si>
  <si>
    <t>Д43</t>
  </si>
  <si>
    <t>Д44</t>
  </si>
  <si>
    <t>Д45</t>
  </si>
  <si>
    <t>Д46</t>
  </si>
  <si>
    <t>Д47</t>
  </si>
  <si>
    <t>Д48</t>
  </si>
  <si>
    <t>Д49</t>
  </si>
  <si>
    <t>Д50</t>
  </si>
  <si>
    <t>Д51</t>
  </si>
  <si>
    <t>Д52</t>
  </si>
  <si>
    <t>Д53</t>
  </si>
  <si>
    <t>Д54</t>
  </si>
  <si>
    <t>Д55</t>
  </si>
  <si>
    <t>Д56</t>
  </si>
  <si>
    <t>Д57</t>
  </si>
  <si>
    <t>Д58</t>
  </si>
  <si>
    <t>Д59</t>
  </si>
  <si>
    <t>Д60</t>
  </si>
  <si>
    <t>Д61</t>
  </si>
  <si>
    <t>Д62</t>
  </si>
  <si>
    <t>Д63</t>
  </si>
  <si>
    <t>Д64</t>
  </si>
  <si>
    <t>Д65</t>
  </si>
  <si>
    <t>Д66</t>
  </si>
  <si>
    <t>Д67</t>
  </si>
  <si>
    <t>Д68</t>
  </si>
  <si>
    <t>Д69</t>
  </si>
  <si>
    <t>Д70</t>
  </si>
  <si>
    <t>Д71</t>
  </si>
  <si>
    <t>Д72</t>
  </si>
  <si>
    <t>Д73</t>
  </si>
  <si>
    <t>Д74</t>
  </si>
  <si>
    <t>Д75</t>
  </si>
  <si>
    <t>Д76</t>
  </si>
  <si>
    <t>Д77</t>
  </si>
  <si>
    <t>Д78</t>
  </si>
  <si>
    <t>Д79</t>
  </si>
  <si>
    <t>Д80</t>
  </si>
  <si>
    <t>Д81</t>
  </si>
  <si>
    <t>Д82</t>
  </si>
  <si>
    <t>Д83</t>
  </si>
  <si>
    <t>Д84</t>
  </si>
  <si>
    <t>Д85</t>
  </si>
  <si>
    <t>Д86</t>
  </si>
  <si>
    <t>Д87</t>
  </si>
  <si>
    <t>Д88</t>
  </si>
  <si>
    <t>Д89</t>
  </si>
  <si>
    <t>Д90</t>
  </si>
  <si>
    <t>Д91</t>
  </si>
  <si>
    <t>Д92</t>
  </si>
  <si>
    <t>Д93</t>
  </si>
  <si>
    <t>Д94</t>
  </si>
  <si>
    <t>Д95</t>
  </si>
  <si>
    <t>Д96</t>
  </si>
  <si>
    <t>Д97</t>
  </si>
  <si>
    <t>Д98</t>
  </si>
  <si>
    <t>Д99</t>
  </si>
  <si>
    <t>Д100</t>
  </si>
  <si>
    <t>Д101</t>
  </si>
  <si>
    <t>Д102</t>
  </si>
  <si>
    <t>Д103</t>
  </si>
  <si>
    <t>Д104</t>
  </si>
  <si>
    <t>Д105</t>
  </si>
  <si>
    <t>Д106</t>
  </si>
  <si>
    <t>Д107</t>
  </si>
  <si>
    <t>Д108</t>
  </si>
  <si>
    <t>Д109</t>
  </si>
  <si>
    <t>Д110</t>
  </si>
  <si>
    <t>Д111</t>
  </si>
  <si>
    <t>Д112</t>
  </si>
  <si>
    <t>Д113</t>
  </si>
  <si>
    <t>Д114</t>
  </si>
  <si>
    <t>Д115</t>
  </si>
  <si>
    <t>Д116</t>
  </si>
  <si>
    <t>Д117</t>
  </si>
  <si>
    <t>Д118</t>
  </si>
  <si>
    <t>Д119</t>
  </si>
  <si>
    <t>Д120</t>
  </si>
  <si>
    <t>Д121</t>
  </si>
  <si>
    <t>Д122</t>
  </si>
  <si>
    <t>Д123</t>
  </si>
  <si>
    <t>Д124</t>
  </si>
  <si>
    <t>Д125</t>
  </si>
  <si>
    <t>Д126</t>
  </si>
  <si>
    <t>Д127</t>
  </si>
  <si>
    <t>Д128</t>
  </si>
  <si>
    <t>Д129</t>
  </si>
  <si>
    <t>Д130</t>
  </si>
  <si>
    <t>Д131</t>
  </si>
  <si>
    <t>Д132</t>
  </si>
  <si>
    <t>Д133</t>
  </si>
  <si>
    <t>Д134</t>
  </si>
  <si>
    <t>Д135</t>
  </si>
  <si>
    <t>Д136</t>
  </si>
  <si>
    <t>Д137</t>
  </si>
  <si>
    <t>Д138</t>
  </si>
  <si>
    <t>Д139</t>
  </si>
  <si>
    <t>Д140</t>
  </si>
  <si>
    <t>Д141</t>
  </si>
  <si>
    <t>Д142</t>
  </si>
  <si>
    <t>Д143</t>
  </si>
  <si>
    <t>Д144</t>
  </si>
  <si>
    <t>Д145</t>
  </si>
  <si>
    <t>Д146</t>
  </si>
  <si>
    <t>Д147</t>
  </si>
  <si>
    <t>Д148</t>
  </si>
  <si>
    <t>Д149</t>
  </si>
  <si>
    <t>Д150</t>
  </si>
  <si>
    <t>Д151</t>
  </si>
  <si>
    <t>Д152</t>
  </si>
  <si>
    <t>Д153</t>
  </si>
  <si>
    <t>Д154</t>
  </si>
  <si>
    <t>Д155</t>
  </si>
  <si>
    <t>Д156</t>
  </si>
  <si>
    <t>Д157</t>
  </si>
  <si>
    <t>Д158</t>
  </si>
  <si>
    <t>Д159</t>
  </si>
  <si>
    <t>Д160</t>
  </si>
  <si>
    <t>Д161</t>
  </si>
  <si>
    <t>Д162</t>
  </si>
  <si>
    <t>Д163</t>
  </si>
  <si>
    <t>Д164</t>
  </si>
  <si>
    <t>Д165</t>
  </si>
  <si>
    <t>Д166</t>
  </si>
  <si>
    <t>Д167</t>
  </si>
  <si>
    <t>Д168</t>
  </si>
  <si>
    <t>Д169</t>
  </si>
  <si>
    <t>Д170</t>
  </si>
  <si>
    <t>Д171</t>
  </si>
  <si>
    <t>Д172</t>
  </si>
  <si>
    <t>Д173</t>
  </si>
  <si>
    <t>Д174</t>
  </si>
  <si>
    <t>Д175</t>
  </si>
  <si>
    <t>Д176</t>
  </si>
  <si>
    <t>Д177</t>
  </si>
  <si>
    <t>Д178</t>
  </si>
  <si>
    <t>Д179</t>
  </si>
  <si>
    <t>Д180</t>
  </si>
  <si>
    <t>Д181</t>
  </si>
  <si>
    <t>Д182</t>
  </si>
  <si>
    <t>Д183</t>
  </si>
  <si>
    <t>Д184</t>
  </si>
  <si>
    <t>Д185</t>
  </si>
  <si>
    <t>Д186</t>
  </si>
  <si>
    <t>Д187</t>
  </si>
  <si>
    <t>Д188</t>
  </si>
  <si>
    <t>Д189</t>
  </si>
  <si>
    <t>Д190</t>
  </si>
  <si>
    <t>Д191</t>
  </si>
  <si>
    <t>Д192</t>
  </si>
  <si>
    <t>Д193</t>
  </si>
  <si>
    <t>Д194</t>
  </si>
  <si>
    <t>Д195</t>
  </si>
  <si>
    <t>Д196</t>
  </si>
  <si>
    <t>Д197</t>
  </si>
  <si>
    <t>Д198</t>
  </si>
  <si>
    <t>Д199</t>
  </si>
  <si>
    <t>Д200</t>
  </si>
  <si>
    <t>Д201</t>
  </si>
  <si>
    <t>Д202</t>
  </si>
  <si>
    <t>Д203</t>
  </si>
  <si>
    <t>Д204</t>
  </si>
  <si>
    <t>Д205</t>
  </si>
  <si>
    <t>Д206</t>
  </si>
  <si>
    <t>Д207</t>
  </si>
  <si>
    <t>Д208</t>
  </si>
  <si>
    <t>Д209</t>
  </si>
  <si>
    <t>Д210</t>
  </si>
  <si>
    <t>Д211</t>
  </si>
  <si>
    <t>Д212</t>
  </si>
  <si>
    <t>Д213</t>
  </si>
  <si>
    <t>Д214</t>
  </si>
  <si>
    <t>Д215</t>
  </si>
  <si>
    <t>Д216</t>
  </si>
  <si>
    <t>Д217</t>
  </si>
  <si>
    <t>Д218</t>
  </si>
  <si>
    <t>Д219</t>
  </si>
  <si>
    <t>Д220</t>
  </si>
  <si>
    <t>Д221</t>
  </si>
  <si>
    <t>Д222</t>
  </si>
  <si>
    <t>Д223</t>
  </si>
  <si>
    <t>Д224</t>
  </si>
  <si>
    <t>Д225</t>
  </si>
  <si>
    <t>Д226</t>
  </si>
  <si>
    <t>Д227</t>
  </si>
  <si>
    <t>Д228</t>
  </si>
  <si>
    <t>Д229</t>
  </si>
  <si>
    <t>Д230</t>
  </si>
  <si>
    <t>Д231</t>
  </si>
  <si>
    <t>Д232</t>
  </si>
  <si>
    <t>Д233</t>
  </si>
  <si>
    <t>Д234</t>
  </si>
  <si>
    <t>Д235</t>
  </si>
  <si>
    <t>Д236</t>
  </si>
  <si>
    <t>Д237</t>
  </si>
  <si>
    <t>Д238</t>
  </si>
  <si>
    <t>Д239</t>
  </si>
  <si>
    <t>Д240</t>
  </si>
  <si>
    <t>Д241</t>
  </si>
  <si>
    <t>Д242</t>
  </si>
  <si>
    <t>Д243</t>
  </si>
  <si>
    <t>Д244</t>
  </si>
  <si>
    <t>ID_Человек</t>
  </si>
  <si>
    <t>ФИО</t>
  </si>
  <si>
    <t>ID_Бизнес</t>
  </si>
  <si>
    <t>Направление</t>
  </si>
  <si>
    <t>Роль</t>
  </si>
  <si>
    <t>Примечание / расхождение</t>
  </si>
  <si>
    <t>Ч1</t>
  </si>
  <si>
    <t>11</t>
  </si>
  <si>
    <t>Департамент Дистрибуции</t>
  </si>
  <si>
    <t/>
  </si>
  <si>
    <t>2</t>
  </si>
  <si>
    <t>Дивизион строительного направления (РБУ / Кирпичзавод / ЖБИ / Гравий)</t>
  </si>
  <si>
    <t>Ч3</t>
  </si>
  <si>
    <t>9</t>
  </si>
  <si>
    <t>Департамент логистики и ГП</t>
  </si>
  <si>
    <t>Ч4</t>
  </si>
  <si>
    <t>7</t>
  </si>
  <si>
    <t>Департамент Развития</t>
  </si>
  <si>
    <t>Ч5</t>
  </si>
  <si>
    <t>15</t>
  </si>
  <si>
    <t>19</t>
  </si>
  <si>
    <t>Отдел маркетинга</t>
  </si>
  <si>
    <t>4</t>
  </si>
  <si>
    <t>Дивизион масла</t>
  </si>
  <si>
    <t>Ч9</t>
  </si>
  <si>
    <t>13</t>
  </si>
  <si>
    <t>Ч11</t>
  </si>
  <si>
    <t>Ч12</t>
  </si>
  <si>
    <t>Ч14</t>
  </si>
  <si>
    <t>Ч15</t>
  </si>
  <si>
    <t>Ч16</t>
  </si>
  <si>
    <t>Ч17</t>
  </si>
  <si>
    <t>Ч18</t>
  </si>
  <si>
    <t>Ч19</t>
  </si>
  <si>
    <t>Правление</t>
  </si>
  <si>
    <t>Ч20</t>
  </si>
  <si>
    <t>14</t>
  </si>
  <si>
    <t>Департамент по работе с государственными органами / Административно-хозяйственное управление</t>
  </si>
  <si>
    <t>555</t>
  </si>
  <si>
    <t>HR BP (без привязки к направлению)</t>
  </si>
  <si>
    <t>Ч22</t>
  </si>
  <si>
    <t>1</t>
  </si>
  <si>
    <t>Производства Муки</t>
  </si>
  <si>
    <t>3</t>
  </si>
  <si>
    <t>Дивизион Птицефабрики</t>
  </si>
  <si>
    <t>Ч24</t>
  </si>
  <si>
    <t>10</t>
  </si>
  <si>
    <t>Департамент продажи муки (Опт)</t>
  </si>
  <si>
    <t>Ч25</t>
  </si>
  <si>
    <t>Ч26</t>
  </si>
  <si>
    <t>12</t>
  </si>
  <si>
    <t>Департамент Снабжения</t>
  </si>
  <si>
    <t>Ч27</t>
  </si>
  <si>
    <t>Ч28</t>
  </si>
  <si>
    <t>Ч29</t>
  </si>
  <si>
    <t>Ч30</t>
  </si>
  <si>
    <t>Ч31</t>
  </si>
  <si>
    <t>Ч33</t>
  </si>
  <si>
    <t>17</t>
  </si>
  <si>
    <t>Ч36</t>
  </si>
  <si>
    <t>Ч37</t>
  </si>
  <si>
    <t>Ч38</t>
  </si>
  <si>
    <t>Ч39</t>
  </si>
  <si>
    <t>6</t>
  </si>
  <si>
    <t>Продажа комбикорм / Производства комбикормов</t>
  </si>
  <si>
    <t>Ч41</t>
  </si>
  <si>
    <t>Ч42</t>
  </si>
  <si>
    <t>Ч43</t>
  </si>
  <si>
    <t>Ч44</t>
  </si>
  <si>
    <t>Ч45</t>
  </si>
  <si>
    <t>Ч46</t>
  </si>
  <si>
    <t>18</t>
  </si>
  <si>
    <t>Департамент капитального строительства (вне списка 22 направлений-конкурентов)</t>
  </si>
  <si>
    <t>Ч47</t>
  </si>
  <si>
    <t>5</t>
  </si>
  <si>
    <t>Дивизион МК</t>
  </si>
  <si>
    <t>Ч48</t>
  </si>
  <si>
    <t>Ч49</t>
  </si>
  <si>
    <t>Ч50</t>
  </si>
  <si>
    <t>Ч51</t>
  </si>
  <si>
    <t>Ч52</t>
  </si>
  <si>
    <t>Ч53</t>
  </si>
  <si>
    <t>Административно-хозяйственное управление</t>
  </si>
  <si>
    <t>Ч54</t>
  </si>
  <si>
    <t>Ч55</t>
  </si>
  <si>
    <t>Ч56</t>
  </si>
  <si>
    <t>Ч57</t>
  </si>
  <si>
    <t>Ч58</t>
  </si>
  <si>
    <t>Ч59</t>
  </si>
  <si>
    <t>Ч60</t>
  </si>
  <si>
    <t>Ч61</t>
  </si>
  <si>
    <t>Ч62</t>
  </si>
  <si>
    <t>16</t>
  </si>
  <si>
    <t>Служба Внутреннего аудита</t>
  </si>
  <si>
    <t>Ч65</t>
  </si>
  <si>
    <t>Ч66</t>
  </si>
  <si>
    <t>Ч67</t>
  </si>
  <si>
    <t>Ч69</t>
  </si>
  <si>
    <t>Ч70</t>
  </si>
  <si>
    <t>8</t>
  </si>
  <si>
    <t>Ч71</t>
  </si>
  <si>
    <t>Ч72</t>
  </si>
  <si>
    <t>ТМК Казахстан</t>
  </si>
  <si>
    <t>Ч74</t>
  </si>
  <si>
    <t>Ч75</t>
  </si>
  <si>
    <t>C&amp;B</t>
  </si>
  <si>
    <t>Ч76</t>
  </si>
  <si>
    <t>Ч77</t>
  </si>
  <si>
    <t>Ч78</t>
  </si>
  <si>
    <t>Ч81</t>
  </si>
  <si>
    <t>Ч82</t>
  </si>
  <si>
    <t>Ч84</t>
  </si>
  <si>
    <t>Ч85</t>
  </si>
  <si>
    <t>Ч86</t>
  </si>
  <si>
    <t>Ч88</t>
  </si>
  <si>
    <t>Технический департамент</t>
  </si>
  <si>
    <t>Ч90</t>
  </si>
  <si>
    <t>Ч91</t>
  </si>
  <si>
    <t>Ч92</t>
  </si>
  <si>
    <t>Ч93</t>
  </si>
  <si>
    <t>Ч94</t>
  </si>
  <si>
    <t>Ч96</t>
  </si>
  <si>
    <t>Ч97</t>
  </si>
  <si>
    <t>Ч98</t>
  </si>
  <si>
    <t>Аппарат правления</t>
  </si>
  <si>
    <t>Ч99</t>
  </si>
  <si>
    <t>ЦОЗ</t>
  </si>
  <si>
    <t>Ч100</t>
  </si>
  <si>
    <t>Ч101</t>
  </si>
  <si>
    <t>Ч102</t>
  </si>
  <si>
    <t>Ч103</t>
  </si>
  <si>
    <t>Ч105</t>
  </si>
  <si>
    <t>Ч107</t>
  </si>
  <si>
    <t>Ч108</t>
  </si>
  <si>
    <t>Ч109</t>
  </si>
  <si>
    <t>Ритейл</t>
  </si>
  <si>
    <t>Ч111</t>
  </si>
  <si>
    <t>Убойный комплекс</t>
  </si>
  <si>
    <t>Ч112</t>
  </si>
  <si>
    <t>Ч113</t>
  </si>
  <si>
    <t>Ч114</t>
  </si>
  <si>
    <t>Торговый дом</t>
  </si>
  <si>
    <t>Ч115</t>
  </si>
  <si>
    <t>Примечание</t>
  </si>
  <si>
    <t>Абдувахобов Абдували Абдуазизович</t>
  </si>
  <si>
    <t>Молочная радость (Афзал)</t>
  </si>
  <si>
    <t>ведущий Лаборант</t>
  </si>
  <si>
    <t>Абдувохидов Чамшед Шарифчонович</t>
  </si>
  <si>
    <t>ҶДММ "Орди Фатир"</t>
  </si>
  <si>
    <t>врач-лаборант</t>
  </si>
  <si>
    <t>Абдуллоев Гуломчон Иномчонович</t>
  </si>
  <si>
    <t>ҶДММ "СеганҶ"</t>
  </si>
  <si>
    <t>Заведующий лабораторией</t>
  </si>
  <si>
    <t>Азимӣ Хусрав Аъзам</t>
  </si>
  <si>
    <t>Азиза</t>
  </si>
  <si>
    <t>инжинер по качеству</t>
  </si>
  <si>
    <t>Акрамов Мирзодаврон Хабибович</t>
  </si>
  <si>
    <t>Байзо</t>
  </si>
  <si>
    <t>Лаборант</t>
  </si>
  <si>
    <t>Арипов Махсуд Махмудович</t>
  </si>
  <si>
    <t>Баракат</t>
  </si>
  <si>
    <t>Менеджер</t>
  </si>
  <si>
    <t>Афанасьева Людмила Владимеровна</t>
  </si>
  <si>
    <t>Ганчи Сомон</t>
  </si>
  <si>
    <t>микробиолог</t>
  </si>
  <si>
    <t>Ахмедбоев Мубинчон Мукимчонович</t>
  </si>
  <si>
    <t>Далерон</t>
  </si>
  <si>
    <t>Начальник отдела</t>
  </si>
  <si>
    <t>Ахмедов Дилшод Гафурович</t>
  </si>
  <si>
    <t>Зарнисор</t>
  </si>
  <si>
    <t>Пекарь</t>
  </si>
  <si>
    <t>Ахроров Ахрорхон Аълохонович</t>
  </si>
  <si>
    <t>Икбол</t>
  </si>
  <si>
    <t>Руководитель</t>
  </si>
  <si>
    <t>Ашуров Азимчон</t>
  </si>
  <si>
    <t>Мармари</t>
  </si>
  <si>
    <t>Специалист ОТК</t>
  </si>
  <si>
    <t>Аюбова Зарриначон Комиловна</t>
  </si>
  <si>
    <t>Мурги Аълосифат</t>
  </si>
  <si>
    <t>Старший лаборант</t>
  </si>
  <si>
    <t>Продажа комбикорм</t>
  </si>
  <si>
    <t>Бабаджанов Бахромхон</t>
  </si>
  <si>
    <t>Навруз бройлер</t>
  </si>
  <si>
    <t>технический работник</t>
  </si>
  <si>
    <t>Бакоев Мирзокодир Хабибович</t>
  </si>
  <si>
    <t>Сайхун</t>
  </si>
  <si>
    <t>Аналитик</t>
  </si>
  <si>
    <t>Производства комбикормов</t>
  </si>
  <si>
    <t>Баходурова Сулхия Азизхочаевна</t>
  </si>
  <si>
    <t>Саодат</t>
  </si>
  <si>
    <t>вакцинатор</t>
  </si>
  <si>
    <t>Бобоев Равшан Анварович</t>
  </si>
  <si>
    <t>Ситораи Сугд</t>
  </si>
  <si>
    <t>Ведущий инспектор операционого контроля</t>
  </si>
  <si>
    <t>Производство ЖБИ</t>
  </si>
  <si>
    <t>Бобохонов Аслидин Муталлибович</t>
  </si>
  <si>
    <t>Сугд бройлер</t>
  </si>
  <si>
    <t>Ветеринарно-санитарный врач</t>
  </si>
  <si>
    <t>Производство Кирпичзавод</t>
  </si>
  <si>
    <t>Бобохонов Мухаммадшариф</t>
  </si>
  <si>
    <t>Файзи Расул</t>
  </si>
  <si>
    <t>Ветеринарный врач</t>
  </si>
  <si>
    <t>Производство РБУ</t>
  </si>
  <si>
    <t>Бобочонов Баходур</t>
  </si>
  <si>
    <t>Файзи Сахар</t>
  </si>
  <si>
    <t>Водитель</t>
  </si>
  <si>
    <t>Проиозводство Гравий</t>
  </si>
  <si>
    <t>Бобочонов Назар Орифчонович</t>
  </si>
  <si>
    <t>Файзи Чахон</t>
  </si>
  <si>
    <t>Водитель электропоргузчика</t>
  </si>
  <si>
    <t>Боев Иброхимчон Далерович</t>
  </si>
  <si>
    <t>Халол Чикен</t>
  </si>
  <si>
    <t>Вспомогательный работник</t>
  </si>
  <si>
    <t>Бузуруков Хуршед Аточонович</t>
  </si>
  <si>
    <t>Авангард</t>
  </si>
  <si>
    <t>Главный ветеренарный врач</t>
  </si>
  <si>
    <t>Валиев Максудчон Абдуганиевич</t>
  </si>
  <si>
    <t>Андалеб</t>
  </si>
  <si>
    <t>Главный инженер</t>
  </si>
  <si>
    <t>Вохидов Маъруфчон Мавлонович</t>
  </si>
  <si>
    <t>АЧР</t>
  </si>
  <si>
    <t>Главный технолог</t>
  </si>
  <si>
    <t>Гафуров Хайрулло Кахорович</t>
  </si>
  <si>
    <t>Барс</t>
  </si>
  <si>
    <t>Заведующий хозяйством</t>
  </si>
  <si>
    <t>Гоибов Дадочон Бахтиёрович</t>
  </si>
  <si>
    <t>Зирвеко</t>
  </si>
  <si>
    <t>закладчик яиц</t>
  </si>
  <si>
    <t>Денис Салин Александрович</t>
  </si>
  <si>
    <t>Зухал</t>
  </si>
  <si>
    <t>Заместитель руководителя</t>
  </si>
  <si>
    <t>Заболотный Дмитрий</t>
  </si>
  <si>
    <t>Мусаффо</t>
  </si>
  <si>
    <t>Инженер вент, отопл, водоотведед, водоснабжение</t>
  </si>
  <si>
    <t>Зарифи Мирзобаховаддин Мусозода</t>
  </si>
  <si>
    <t>Сахо</t>
  </si>
  <si>
    <t>Инженер КиП и А - метролог</t>
  </si>
  <si>
    <t>Зикруллаев Рахимхон</t>
  </si>
  <si>
    <t>Таджеро</t>
  </si>
  <si>
    <t>Инженер КИПиА</t>
  </si>
  <si>
    <t>Зоидов Аъзамчон Акрамович</t>
  </si>
  <si>
    <t>Хочи Давлат</t>
  </si>
  <si>
    <t>Инженер механик</t>
  </si>
  <si>
    <t>Зокирова Зебочон Абдуазимовна</t>
  </si>
  <si>
    <t>Хочи Даврон</t>
  </si>
  <si>
    <t>Инженер холодильщик (совмещение с КиПиА)</t>
  </si>
  <si>
    <t>Ибодуллоев Фаридун Умарович</t>
  </si>
  <si>
    <t>Ачр (ГП)</t>
  </si>
  <si>
    <t>Инженер электрик</t>
  </si>
  <si>
    <t>Искандаров Хайрулло Абдуллоевич</t>
  </si>
  <si>
    <t>Буона (ГП)</t>
  </si>
  <si>
    <t>Инспектор по операционому контролю</t>
  </si>
  <si>
    <t>Исломов Чамшед Абдукахорович</t>
  </si>
  <si>
    <t>Душанбе (ГП)</t>
  </si>
  <si>
    <t>Лаборанты</t>
  </si>
  <si>
    <t>Исоматдинов Сайдулло Хабибуллоевич</t>
  </si>
  <si>
    <t>Фатир (ГП)</t>
  </si>
  <si>
    <t>Мастер бригады мойщиков</t>
  </si>
  <si>
    <t>Каримов Мансурчон Рахимчонович</t>
  </si>
  <si>
    <t>Амид</t>
  </si>
  <si>
    <t>Мастер ЛОС</t>
  </si>
  <si>
    <t>Кахоров Абдуманнон Абдукосимович</t>
  </si>
  <si>
    <t>Ачр</t>
  </si>
  <si>
    <t>Мастер тарного цеха</t>
  </si>
  <si>
    <t>Кенчаев Эминчон Абдуразокович</t>
  </si>
  <si>
    <t>Буона</t>
  </si>
  <si>
    <t>Мастер участка обвалки</t>
  </si>
  <si>
    <t>Кодиров Камолчон Насимчонович</t>
  </si>
  <si>
    <t>Муосир пласт</t>
  </si>
  <si>
    <t>Мастер участка приёмки</t>
  </si>
  <si>
    <t>Косимов Умедчон Гуфрончонович</t>
  </si>
  <si>
    <t>Орди Фатир</t>
  </si>
  <si>
    <t>Мастер участка разделки</t>
  </si>
  <si>
    <t>Кучкоров Икром Ильхомжонович</t>
  </si>
  <si>
    <t>Чучаи Байзо</t>
  </si>
  <si>
    <t>Мастер участка убоя и потрошения</t>
  </si>
  <si>
    <t>Мавлонов Шавкат Абдумаликович</t>
  </si>
  <si>
    <t>Grass</t>
  </si>
  <si>
    <t>Мастер участок заморозки и перефасовки (чистая зона)-2 смены</t>
  </si>
  <si>
    <t>Мавлонов Шахзод Абдумаликович</t>
  </si>
  <si>
    <t>Lega</t>
  </si>
  <si>
    <t>Мастер ЦПКМ (совмещение с КиП и А)</t>
  </si>
  <si>
    <t>Мамадчонов Бахром Махмудчонович</t>
  </si>
  <si>
    <t>Silcoat</t>
  </si>
  <si>
    <t>Машинисты компрессорного цеха</t>
  </si>
  <si>
    <t>Махмадов Шохамид Шарифович</t>
  </si>
  <si>
    <t>ҶДММ "Азамат Агро"</t>
  </si>
  <si>
    <t>Менеджер проекта</t>
  </si>
  <si>
    <t>Махмудов Анварджон Рузиевич</t>
  </si>
  <si>
    <t>ҶДММ "Азимов А."</t>
  </si>
  <si>
    <t>Механик</t>
  </si>
  <si>
    <t>Махмудов Иброхимчон</t>
  </si>
  <si>
    <t>ҶДММ "Аркоим"</t>
  </si>
  <si>
    <t>Мойщик</t>
  </si>
  <si>
    <t>Махмудов Ислом Усмонович</t>
  </si>
  <si>
    <t>ҶДММ "Асали 1"</t>
  </si>
  <si>
    <t>Нач.производство</t>
  </si>
  <si>
    <t>Мачидов Наим</t>
  </si>
  <si>
    <t>ҶДММ "Астана"</t>
  </si>
  <si>
    <t>Начальник</t>
  </si>
  <si>
    <t>Мирзобобоев Мирзобарот Муродчонович</t>
  </si>
  <si>
    <t>ҶДММ "АҶР"</t>
  </si>
  <si>
    <t>Начальник котельной</t>
  </si>
  <si>
    <t>Мирзобобоев Мирзохалим</t>
  </si>
  <si>
    <t>ҶДММ "Гафури Суғд"</t>
  </si>
  <si>
    <t>Начальник цеха ЦПКМ</t>
  </si>
  <si>
    <t>Мирзомансуров Абдурахмон</t>
  </si>
  <si>
    <t>ҶДММ "Зерновая компания"</t>
  </si>
  <si>
    <t>Оператор</t>
  </si>
  <si>
    <t>Назаров Носир</t>
  </si>
  <si>
    <t>ҶДММ "Имкон Агро"</t>
  </si>
  <si>
    <t>Операторы линий и оборудования</t>
  </si>
  <si>
    <t>Наимов Нурулло Насимович</t>
  </si>
  <si>
    <t>ҶДММ "Маҳсулотҳои Заррин"</t>
  </si>
  <si>
    <t>Помощник начальника</t>
  </si>
  <si>
    <t>Насуллоев Набичон</t>
  </si>
  <si>
    <t>ҶДММ "Олим Авезов"</t>
  </si>
  <si>
    <t>Помощник оператора</t>
  </si>
  <si>
    <t>Негматов Камолиддин</t>
  </si>
  <si>
    <t>ҶДММ "Орди кавсар"</t>
  </si>
  <si>
    <t>Птицевод</t>
  </si>
  <si>
    <t>Неъматов Анушервон Нозимчонович</t>
  </si>
  <si>
    <t>ҶДММ "Ориён Мил"</t>
  </si>
  <si>
    <t>Руководитель Департамента</t>
  </si>
  <si>
    <t>Нодиров Равшан Пулодович</t>
  </si>
  <si>
    <t>ҶДММ "ҳоҶи Юсуф"</t>
  </si>
  <si>
    <t>Слесарь Кип и А -наладчик упаковочного оборудования</t>
  </si>
  <si>
    <t>Нуров Баходур Чамшедович</t>
  </si>
  <si>
    <t>Амид групп</t>
  </si>
  <si>
    <t>Слесарь наладчик</t>
  </si>
  <si>
    <t>Обидов Фарход Муминчонович</t>
  </si>
  <si>
    <t>АНТ</t>
  </si>
  <si>
    <t>Слесарь-сантехник</t>
  </si>
  <si>
    <t>Одинаев Абдухалим</t>
  </si>
  <si>
    <t>Банк Эсхата</t>
  </si>
  <si>
    <t>Специалист по качеству</t>
  </si>
  <si>
    <t>Пономарев Олег Александрович</t>
  </si>
  <si>
    <t>Группа компаний Бабаджанова И.</t>
  </si>
  <si>
    <t>Старший механик</t>
  </si>
  <si>
    <t>Рабиев Илхомджон Бобочонович</t>
  </si>
  <si>
    <t>LEGA</t>
  </si>
  <si>
    <t>Старший технолог</t>
  </si>
  <si>
    <t>Рахимов Дилшод Нематович</t>
  </si>
  <si>
    <t>Азия Фарм</t>
  </si>
  <si>
    <t>Техничка-гладильщик</t>
  </si>
  <si>
    <t>Рахимходжаев Амирхуча</t>
  </si>
  <si>
    <t>Саховат</t>
  </si>
  <si>
    <t>Технолог</t>
  </si>
  <si>
    <t>Рахматов Мукимчон Музаффарович</t>
  </si>
  <si>
    <t>ХочиДавлат</t>
  </si>
  <si>
    <t>Электромонтер</t>
  </si>
  <si>
    <t>Рахмонов Умедчон Турсунбоевич</t>
  </si>
  <si>
    <t>ХочиДаврон</t>
  </si>
  <si>
    <t>Бухгалтер-операционист</t>
  </si>
  <si>
    <t>Рачабов Умедчон</t>
  </si>
  <si>
    <t>ҶДММ "Насими Набқ"</t>
  </si>
  <si>
    <t>Водитель экспедитор</t>
  </si>
  <si>
    <t>Рустамзода Анушервон</t>
  </si>
  <si>
    <t>ҶДММ "Насими Накб"</t>
  </si>
  <si>
    <t>Грузчик</t>
  </si>
  <si>
    <t>Рустамов Мухсинчон Муминович</t>
  </si>
  <si>
    <t>ҶДММ "Сахо"</t>
  </si>
  <si>
    <t>Заведующий складом</t>
  </si>
  <si>
    <t>Рустамов Нурулло</t>
  </si>
  <si>
    <t>ҶДММ "Тиҷорат Ойл"</t>
  </si>
  <si>
    <t>Кладовщик</t>
  </si>
  <si>
    <t>Рустамов Рахимджон Мухамадович</t>
  </si>
  <si>
    <t>ҶСП "Зухал"</t>
  </si>
  <si>
    <t>Логист</t>
  </si>
  <si>
    <t>Саидов Аюбчон Муминчонович</t>
  </si>
  <si>
    <t>Дангара (китай)</t>
  </si>
  <si>
    <t>мерчендайзер</t>
  </si>
  <si>
    <t>Сайдуллоев Баховаддин Рахматчонович</t>
  </si>
  <si>
    <t>Сохтмони Кабир</t>
  </si>
  <si>
    <t>Руководитель филиала</t>
  </si>
  <si>
    <t>Самадов Абдували</t>
  </si>
  <si>
    <t>ТГЭМ</t>
  </si>
  <si>
    <t>Складчик-продавец</t>
  </si>
  <si>
    <t>Самадова Фарзона</t>
  </si>
  <si>
    <t>Амина К</t>
  </si>
  <si>
    <t>Супервайзер</t>
  </si>
  <si>
    <t>Самандаров Зикруллоходжа</t>
  </si>
  <si>
    <t>Вохидов</t>
  </si>
  <si>
    <t>торговый представитель</t>
  </si>
  <si>
    <t>Самандаров Исмоилхоча Вохидхочаевич</t>
  </si>
  <si>
    <t>Мабрук</t>
  </si>
  <si>
    <t>Эксклюзивный торговый представитель</t>
  </si>
  <si>
    <t>Самандаров Исроилхоча Вохидхочаевич</t>
  </si>
  <si>
    <t>Мастчох</t>
  </si>
  <si>
    <t>Водитель автокара</t>
  </si>
  <si>
    <t>Сангинзода Хайдарчон Одили</t>
  </si>
  <si>
    <t>Некрой</t>
  </si>
  <si>
    <t>Завсклад</t>
  </si>
  <si>
    <t>Сатторов Илхомчон Ахмадчонович</t>
  </si>
  <si>
    <t>Тарз</t>
  </si>
  <si>
    <t>Координатор</t>
  </si>
  <si>
    <t>Собиров Аличон Лахаевич</t>
  </si>
  <si>
    <t>Толис</t>
  </si>
  <si>
    <t>Координатор складов</t>
  </si>
  <si>
    <t>Собиров Фарход Акрамович</t>
  </si>
  <si>
    <t>Чиптура</t>
  </si>
  <si>
    <t>Оператор робота</t>
  </si>
  <si>
    <t>Содиков Савриддин Иброхимович</t>
  </si>
  <si>
    <t>Чучаи Заррин</t>
  </si>
  <si>
    <t>Руководитель отдела</t>
  </si>
  <si>
    <t>Солибоева Мутрибахон</t>
  </si>
  <si>
    <t>Амина-К</t>
  </si>
  <si>
    <t>Руководитель службы</t>
  </si>
  <si>
    <t>Солиев Умедчон Абдучалолович</t>
  </si>
  <si>
    <t>Асали</t>
  </si>
  <si>
    <t>Диспетчер</t>
  </si>
  <si>
    <t>Степкин Роман Викторович</t>
  </si>
  <si>
    <t>Донаи Босифат</t>
  </si>
  <si>
    <t>Заместитель начальника СО</t>
  </si>
  <si>
    <t>Урунов Акмалхуча Абдуллоевич</t>
  </si>
  <si>
    <t>Зикр</t>
  </si>
  <si>
    <t>Охранник</t>
  </si>
  <si>
    <t>Урунова Фарангис Рафиевна</t>
  </si>
  <si>
    <t>Кавсар</t>
  </si>
  <si>
    <t>Пом.начальника</t>
  </si>
  <si>
    <t>Фаёзов Шавкат</t>
  </si>
  <si>
    <t>Мармари (Душанбе)</t>
  </si>
  <si>
    <t>Помощник Рук.деп</t>
  </si>
  <si>
    <t>Хакимов Азимчон Анварович</t>
  </si>
  <si>
    <t>Олтин Дон</t>
  </si>
  <si>
    <t>Руководитель департамента</t>
  </si>
  <si>
    <t>Хакимов Мирзомубин Наимович</t>
  </si>
  <si>
    <t>Самекс</t>
  </si>
  <si>
    <t>Специалист отдела</t>
  </si>
  <si>
    <t>Хакимов Мирзомуин Наимович</t>
  </si>
  <si>
    <t>Фатир</t>
  </si>
  <si>
    <t>Специалист по работе с гос. органонами</t>
  </si>
  <si>
    <t>Хасанов Фарход Сулаймонович</t>
  </si>
  <si>
    <t>Шафран (Душанбе)</t>
  </si>
  <si>
    <t>Специалист по таможеному оформлению</t>
  </si>
  <si>
    <t>Холмуродов Фирдавс</t>
  </si>
  <si>
    <t>NNP</t>
  </si>
  <si>
    <t>Старший охраник</t>
  </si>
  <si>
    <t>Холов Бехруз</t>
  </si>
  <si>
    <t>Группа компаний "Амид"</t>
  </si>
  <si>
    <t>Водитель электроавтотележки</t>
  </si>
  <si>
    <t>Холова Нигина</t>
  </si>
  <si>
    <t>НПО "Анти"</t>
  </si>
  <si>
    <t>Водитель-продовец</t>
  </si>
  <si>
    <t>Хомидов Иброхимхоча</t>
  </si>
  <si>
    <t>НПО "Мир"</t>
  </si>
  <si>
    <t>Менеджер по продажам</t>
  </si>
  <si>
    <t>Хомидов Муродчон</t>
  </si>
  <si>
    <t>НПО "Човид"</t>
  </si>
  <si>
    <t>Руководитель направление ОПТ</t>
  </si>
  <si>
    <t>Хочаев Баховаддин Хошимович</t>
  </si>
  <si>
    <t>Программа развития ООН</t>
  </si>
  <si>
    <t>Руководитель направление СТТ</t>
  </si>
  <si>
    <t>Хочирахимов Низомиддин</t>
  </si>
  <si>
    <t>Продовольствення программа ООН</t>
  </si>
  <si>
    <t>Руководитель направление HoReCa</t>
  </si>
  <si>
    <t>Чумаев Аминчон Азимчонович</t>
  </si>
  <si>
    <t>Абдувохид 3 мкр</t>
  </si>
  <si>
    <t>Аналитик-программист</t>
  </si>
  <si>
    <t>Чураев Равшан Абдухакимович</t>
  </si>
  <si>
    <t>Абдукодир Бустон</t>
  </si>
  <si>
    <t>Ведущий аналитик</t>
  </si>
  <si>
    <t>Чураев Шокирчон Азимович</t>
  </si>
  <si>
    <t>Дехмой</t>
  </si>
  <si>
    <t>Ведущий специалист</t>
  </si>
  <si>
    <t>Шамсиев Мансурчон Муродович</t>
  </si>
  <si>
    <t>ЖБИ 28 мк</t>
  </si>
  <si>
    <t>Директор департамента развития</t>
  </si>
  <si>
    <t>Шарипов Уктамчон Юлдошевич</t>
  </si>
  <si>
    <t>Кимё</t>
  </si>
  <si>
    <t>Менеджер проектов</t>
  </si>
  <si>
    <t>Шарифзода Шарафчон Шариф</t>
  </si>
  <si>
    <t>Раматчонако Гозиён</t>
  </si>
  <si>
    <t>Методолог</t>
  </si>
  <si>
    <t>Шарифов Манучеҳр</t>
  </si>
  <si>
    <t>РБУ Пулчукур</t>
  </si>
  <si>
    <t>Начальник отдела
 Сардори шуъба</t>
  </si>
  <si>
    <t>Шарифов Саидхоча Мамадович</t>
  </si>
  <si>
    <t>Терминал Чашма</t>
  </si>
  <si>
    <t>Процессный аналитик</t>
  </si>
  <si>
    <t>Шерматов Икром</t>
  </si>
  <si>
    <t>Толиб 3мк</t>
  </si>
  <si>
    <t>Специалист</t>
  </si>
  <si>
    <t>Юнусов Фирдавсхон Хайруллоевич</t>
  </si>
  <si>
    <t>Хакимако Гозиён</t>
  </si>
  <si>
    <t>Специалист по внутренним коммуникациям</t>
  </si>
  <si>
    <t>Юсупов Бахтиёр</t>
  </si>
  <si>
    <t>Хуршед 777</t>
  </si>
  <si>
    <t>Специалист по поиску и анализу кандидатов</t>
  </si>
  <si>
    <t>Юсупов Умарчон</t>
  </si>
  <si>
    <t>Шохин Гозийн</t>
  </si>
  <si>
    <t>Специалист по работе с молодежью</t>
  </si>
  <si>
    <t>Nicolas Jegard</t>
  </si>
  <si>
    <t>ЭЛИТ СОХТМОН</t>
  </si>
  <si>
    <t>Стажер</t>
  </si>
  <si>
    <t>Каримов Дилшодчон Зафарчонович</t>
  </si>
  <si>
    <t>Новый — отсутствовал в «Ответственные лица», найден только как Руководитель/HR BP в других листах</t>
  </si>
  <si>
    <t>Акма</t>
  </si>
  <si>
    <t>Старший специалист</t>
  </si>
  <si>
    <t>Окилов Баротчон Камолович</t>
  </si>
  <si>
    <t>Зам-Зам</t>
  </si>
  <si>
    <t>Юрист</t>
  </si>
  <si>
    <t>Шукурова Мадинахон Анваровна</t>
  </si>
  <si>
    <t>Миллионка Амон</t>
  </si>
  <si>
    <t>Миллионка Нуъмонако</t>
  </si>
  <si>
    <t>HR Generalist</t>
  </si>
  <si>
    <t>Миллионка Хитой</t>
  </si>
  <si>
    <t>S HR BP</t>
  </si>
  <si>
    <t>Ободкор</t>
  </si>
  <si>
    <t>Весовщик</t>
  </si>
  <si>
    <t>Пролетар Заводи калон</t>
  </si>
  <si>
    <t>Директор</t>
  </si>
  <si>
    <t>Таксапарк Усмончон</t>
  </si>
  <si>
    <t>Мастер</t>
  </si>
  <si>
    <t>АВРУПОСОЗ</t>
  </si>
  <si>
    <t>Начальник склада тары</t>
  </si>
  <si>
    <t>Каскад Хучанд</t>
  </si>
  <si>
    <t>Руководитель по развитию</t>
  </si>
  <si>
    <t>КИМЁ</t>
  </si>
  <si>
    <t>Заведующей лабораторией</t>
  </si>
  <si>
    <t>Кристал сохтмон</t>
  </si>
  <si>
    <t>Кочегар</t>
  </si>
  <si>
    <t>НУРИ СИФАТ</t>
  </si>
  <si>
    <t>Начальник цеха</t>
  </si>
  <si>
    <t>РБУ Рухак Хочиабдучалил</t>
  </si>
  <si>
    <t>Оператор кательной</t>
  </si>
  <si>
    <t>Сеганч</t>
  </si>
  <si>
    <t>Старший оператор</t>
  </si>
  <si>
    <t>СИПЕХР</t>
  </si>
  <si>
    <t>Техничка</t>
  </si>
  <si>
    <t>Тобовар</t>
  </si>
  <si>
    <t>Фасовщица</t>
  </si>
  <si>
    <t>ТОЧСОХТМОН РБУ</t>
  </si>
  <si>
    <t>Газоэлектросварщик</t>
  </si>
  <si>
    <t>ФАРАХ</t>
  </si>
  <si>
    <t>Главный механик</t>
  </si>
  <si>
    <t>Хочи Фуркат</t>
  </si>
  <si>
    <t>Жестянщик</t>
  </si>
  <si>
    <t>ЭЛИТ СОХТМОН РБУ</t>
  </si>
  <si>
    <t>Заместитель</t>
  </si>
  <si>
    <t>Абдурозик</t>
  </si>
  <si>
    <t>Инженер</t>
  </si>
  <si>
    <t>Азамат рухак ёни сифат- 2 та грав завод</t>
  </si>
  <si>
    <t>Инженер-нормировщик</t>
  </si>
  <si>
    <t>Ашти Рухак 2 та гравзавод</t>
  </si>
  <si>
    <t>Инженер-проектировщик</t>
  </si>
  <si>
    <t>Болои Кабир Абдучамил</t>
  </si>
  <si>
    <t>Инженер-сварщик</t>
  </si>
  <si>
    <t>Доломит</t>
  </si>
  <si>
    <t>Маляр</t>
  </si>
  <si>
    <t>Карусель миён рохи Се даста</t>
  </si>
  <si>
    <t>Начальник производства</t>
  </si>
  <si>
    <t>Кимие -Тарафи Сомгор</t>
  </si>
  <si>
    <t>Оператор кислородной установки</t>
  </si>
  <si>
    <t>М-ТЭКО</t>
  </si>
  <si>
    <t>Оператор плазморезного оборудование</t>
  </si>
  <si>
    <t>Махсудчон Мурча - рухак</t>
  </si>
  <si>
    <t>Оператор ЧПУ</t>
  </si>
  <si>
    <t>Нури Сифат</t>
  </si>
  <si>
    <t>Сборщик</t>
  </si>
  <si>
    <t>Рухак сифат</t>
  </si>
  <si>
    <t>Сверловщик</t>
  </si>
  <si>
    <t>СомонСугд</t>
  </si>
  <si>
    <t>Слесарь-монтажник</t>
  </si>
  <si>
    <t>Хочи Абдурахмон Рухак</t>
  </si>
  <si>
    <t>Слесарь-ремонтник</t>
  </si>
  <si>
    <t>Хочи Обид</t>
  </si>
  <si>
    <t>Специалист по складскому учёту</t>
  </si>
  <si>
    <t>ХочиОбид- Рухак</t>
  </si>
  <si>
    <t>Токарь</t>
  </si>
  <si>
    <t>Чорчуй</t>
  </si>
  <si>
    <t>Токарь-фрезеровщик</t>
  </si>
  <si>
    <t>Шароф Рухак-боли асфальт завод</t>
  </si>
  <si>
    <t>Электросварщик</t>
  </si>
  <si>
    <t>Бонки "Эсхата"</t>
  </si>
  <si>
    <t>Бригадир смены</t>
  </si>
  <si>
    <t>Газойл Таджикистан</t>
  </si>
  <si>
    <t>Вакцинатор</t>
  </si>
  <si>
    <t>Дистрибьютерские компаниии как: "Лидер" и "Faiza"</t>
  </si>
  <si>
    <t>Зоотехник</t>
  </si>
  <si>
    <t>Компания "Азизи"</t>
  </si>
  <si>
    <t>Сборщик яиц</t>
  </si>
  <si>
    <t>Малочная радость</t>
  </si>
  <si>
    <t>Слесарь</t>
  </si>
  <si>
    <t>Сугд нефт</t>
  </si>
  <si>
    <t>Тракторист</t>
  </si>
  <si>
    <t>Сугд сохтмон</t>
  </si>
  <si>
    <t>Упаковщик яиц</t>
  </si>
  <si>
    <t>Сугд цемент</t>
  </si>
  <si>
    <t>Бренд менеджер</t>
  </si>
  <si>
    <t>Точ сохтмон</t>
  </si>
  <si>
    <t>Бренд-менеджер</t>
  </si>
  <si>
    <t>Хуаксин</t>
  </si>
  <si>
    <t>Видеограф</t>
  </si>
  <si>
    <t>Дизайнер</t>
  </si>
  <si>
    <t>Ивент-менеджер</t>
  </si>
  <si>
    <t>Консультант-зоотехник</t>
  </si>
  <si>
    <t>Консультант-технолог</t>
  </si>
  <si>
    <t>Маркетолог</t>
  </si>
  <si>
    <t>Младший бренд менеджер</t>
  </si>
  <si>
    <t>Старший Аналитик-исследователь</t>
  </si>
  <si>
    <t>Старший бренд менеджер</t>
  </si>
  <si>
    <t>Старший Маркетолог</t>
  </si>
  <si>
    <t>Старший трейд-маркетолог</t>
  </si>
  <si>
    <t>Старший-аналитик</t>
  </si>
  <si>
    <t>Трейд маркетолог</t>
  </si>
  <si>
    <t>E-com маркетолог</t>
  </si>
  <si>
    <t>SMM менеджер</t>
  </si>
  <si>
    <t>Бухгалтер</t>
  </si>
  <si>
    <t>Администратор проектов</t>
  </si>
  <si>
    <t>Инженер по контролю затрат</t>
  </si>
  <si>
    <t>Контракт-менеджер</t>
  </si>
  <si>
    <t>Руководитель Центра Реализации Проектов</t>
  </si>
  <si>
    <t>Специалист документооборота</t>
  </si>
  <si>
    <t>Специалист по закупкам</t>
  </si>
  <si>
    <t>Начальник смены</t>
  </si>
  <si>
    <t>Помощник технолога</t>
  </si>
  <si>
    <t>Производственный бухгалтер</t>
  </si>
  <si>
    <t>Фермер</t>
  </si>
  <si>
    <t>Элеваторщик</t>
  </si>
  <si>
    <t>Аппаратчик сушки и помола</t>
  </si>
  <si>
    <t>Заместитель руководителя департамента</t>
  </si>
  <si>
    <t>Оператор (отруби)</t>
  </si>
  <si>
    <t>Оператор (производства)</t>
  </si>
  <si>
    <t>Оператор (фасовка муки)</t>
  </si>
  <si>
    <t>Бригадир</t>
  </si>
  <si>
    <t>Гл.механик</t>
  </si>
  <si>
    <t>Коммерческий директор</t>
  </si>
  <si>
    <t>Крановщик</t>
  </si>
  <si>
    <t>Снабженец</t>
  </si>
  <si>
    <t>Стропольщик</t>
  </si>
  <si>
    <t>Электрик</t>
  </si>
  <si>
    <t>Водитель электронный трицикл</t>
  </si>
  <si>
    <t>Инжинер</t>
  </si>
  <si>
    <t>Кладчик</t>
  </si>
  <si>
    <t>Садчик</t>
  </si>
  <si>
    <t>Лаборант-экспедитор</t>
  </si>
  <si>
    <t>Риск-менеджер</t>
  </si>
  <si>
    <t>Руководитель продаж</t>
  </si>
  <si>
    <t>Слесарь-механик</t>
  </si>
  <si>
    <t>Специалист по отчету продажа</t>
  </si>
  <si>
    <t>Ст.Лаборант</t>
  </si>
  <si>
    <t>Аудитор</t>
  </si>
  <si>
    <t>Главный аудитор</t>
  </si>
  <si>
    <t>Младший аудитор</t>
  </si>
  <si>
    <t>Бухгалтер 1 категории</t>
  </si>
  <si>
    <t>Бухгалтер 2 категории</t>
  </si>
  <si>
    <t>Бухгалтер 3 категории</t>
  </si>
  <si>
    <t>Бухгалтер по учета заработной платы</t>
  </si>
  <si>
    <t>Ведущий бухгалтер</t>
  </si>
  <si>
    <t>Ведущий риск-аналитик</t>
  </si>
  <si>
    <t>Ведущий риск-менеджер</t>
  </si>
  <si>
    <t>Ведущий специалист по внутреннему контролю</t>
  </si>
  <si>
    <t>Водитель - инкасатор</t>
  </si>
  <si>
    <t>Выездной кассир</t>
  </si>
  <si>
    <t>Главный бухгалтер</t>
  </si>
  <si>
    <t>Инкасатор</t>
  </si>
  <si>
    <t>Кассир</t>
  </si>
  <si>
    <t>Кассир-оператор</t>
  </si>
  <si>
    <t>Координатор отдела</t>
  </si>
  <si>
    <t>Риск-аналитик 1 категории</t>
  </si>
  <si>
    <t>Риск-аналитик 2 категории</t>
  </si>
  <si>
    <t>Риск-менеджер 1 категории</t>
  </si>
  <si>
    <t>Риск-менеджер 2 категории</t>
  </si>
  <si>
    <t>Руководитель отдела внутреннего контроля</t>
  </si>
  <si>
    <t>Руководитель отдела мониторинга рисков</t>
  </si>
  <si>
    <t>Руководитель отдела риск-аналитики</t>
  </si>
  <si>
    <t>Руководитель управления</t>
  </si>
  <si>
    <t>Специалист казначейства</t>
  </si>
  <si>
    <t>Специалист по внутреннему контролю</t>
  </si>
  <si>
    <t>Специалист по работе с проблемными задолженностями</t>
  </si>
  <si>
    <t>Старший кассир</t>
  </si>
  <si>
    <t>Старший риск-аналитик</t>
  </si>
  <si>
    <t>Старший риск-менеджер</t>
  </si>
  <si>
    <t>Экономист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</si>
</sst>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F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E1" zoomScaleNormal="100" workbookViewId="0">
      <pane ySplit="1" topLeftCell="A2" activePane="bottomLeft" state="frozen"/>
      <selection pane="bottomLeft" activeCell="J4" sqref="J4"/>
    </sheetView>
  </sheetViews>
  <sheetFormatPr defaultColWidth="56.5546875" defaultRowHeight="14.4" customHeight="1" x14ac:dyDescent="0.3"/>
  <cols>
    <col min="1" max="1" width="7.5546875" style="4" bestFit="1" customWidth="1"/>
    <col min="2" max="2" width="20" style="4" bestFit="1" customWidth="1"/>
    <col min="3" max="3" width="49.21875" style="4" bestFit="1" customWidth="1"/>
    <col min="4" max="4" width="54.88671875" style="4" bestFit="1" customWidth="1"/>
    <col min="5" max="5" width="20.6640625" style="4" bestFit="1" customWidth="1"/>
    <col min="6" max="6" width="37.21875" style="4" bestFit="1" customWidth="1"/>
    <col min="7" max="7" width="13.77734375" style="4" bestFit="1" customWidth="1"/>
    <col min="8" max="8" width="32.77734375" style="4" bestFit="1" customWidth="1"/>
    <col min="9" max="9" width="26.88671875" style="4" bestFit="1" customWidth="1"/>
    <col min="10" max="10" width="24.44140625" style="4" bestFit="1" customWidth="1"/>
    <col min="11" max="16384" width="56.5546875" style="4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">
      <c r="A2" s="5">
        <v>1</v>
      </c>
      <c r="B2" s="5" t="s">
        <v>10</v>
      </c>
      <c r="C2" s="5" t="str">
        <f>VLOOKUP(B2,Справочник!$A$2:$B$23,2,FALSE)</f>
        <v>Главная лаборатория</v>
      </c>
      <c r="D2" s="5" t="s">
        <v>11</v>
      </c>
      <c r="E2" s="5" t="s">
        <v>12</v>
      </c>
      <c r="F2" s="5" t="str">
        <f>VLOOKUP(E2,Справочник!$D$2:$E$119,2,FALSE)</f>
        <v>Исломов Чамшед Абдукахорович</v>
      </c>
      <c r="G2" s="5" t="s">
        <v>13</v>
      </c>
      <c r="H2" s="5" t="str">
        <f>VLOOKUP(G2,Справочник!$D$2:$E$119,2,FALSE)</f>
        <v>Зокирова Зебочон Абдуазимовна</v>
      </c>
      <c r="I2" s="5">
        <v>3</v>
      </c>
      <c r="J2" s="5">
        <v>13</v>
      </c>
    </row>
    <row r="3" spans="1:10" ht="34.049999999999997" customHeight="1" x14ac:dyDescent="0.3">
      <c r="A3" s="6">
        <v>2</v>
      </c>
      <c r="B3" s="5" t="s">
        <v>14</v>
      </c>
      <c r="C3" s="5" t="str">
        <f>VLOOKUP(B3,Справочник!$A$2:$B$23,2,FALSE)</f>
        <v>Департамент бройлерного направления</v>
      </c>
      <c r="D3" s="5" t="s">
        <v>15</v>
      </c>
      <c r="E3" s="5" t="s">
        <v>16</v>
      </c>
      <c r="F3" s="6" t="str">
        <f>VLOOKUP(E3,Справочник!$D$2:$E$119,2,FALSE)</f>
        <v>Рустамов Рахимджон Мухамадович</v>
      </c>
      <c r="G3" s="6" t="s">
        <v>17</v>
      </c>
      <c r="H3" s="7" t="str">
        <f>VLOOKUP(G3,Справочник!$D$2:$E$119,2,FALSE)</f>
        <v>Боев Иброхимчон Далерович</v>
      </c>
      <c r="I3" s="7">
        <v>18</v>
      </c>
      <c r="J3" s="7">
        <v>54</v>
      </c>
    </row>
    <row r="4" spans="1:10" ht="19.95" customHeight="1" x14ac:dyDescent="0.3">
      <c r="A4" s="5">
        <v>3</v>
      </c>
      <c r="B4" s="5" t="s">
        <v>18</v>
      </c>
      <c r="C4" s="5" t="str">
        <f>VLOOKUP(B4,Справочник!$A$2:$B$23,2,FALSE)</f>
        <v>Департамент Дистрибуции</v>
      </c>
      <c r="D4" s="5" t="s">
        <v>19</v>
      </c>
      <c r="E4" s="5" t="s">
        <v>20</v>
      </c>
      <c r="F4" s="5" t="str">
        <f>VLOOKUP(E4,Справочник!$D$2:$E$119,2,FALSE)</f>
        <v>Хасанов Фарход Сулаймонович</v>
      </c>
      <c r="G4" s="5" t="s">
        <v>21</v>
      </c>
      <c r="H4" s="5" t="str">
        <f>VLOOKUP(G4,Справочник!$D$2:$E$119,2,FALSE)</f>
        <v>Кодиров Камолчон Насимчонович</v>
      </c>
      <c r="I4" s="5">
        <v>11</v>
      </c>
      <c r="J4" s="5">
        <v>13</v>
      </c>
    </row>
    <row r="5" spans="1:10" ht="19.95" customHeight="1" x14ac:dyDescent="0.3">
      <c r="A5" s="6">
        <v>4</v>
      </c>
      <c r="B5" s="5" t="s">
        <v>22</v>
      </c>
      <c r="C5" s="5" t="str">
        <f>VLOOKUP(B5,Справочник!$A$2:$B$23,2,FALSE)</f>
        <v>Департамент логистики и ГП</v>
      </c>
      <c r="D5" s="5" t="s">
        <v>23</v>
      </c>
      <c r="E5" s="5" t="s">
        <v>24</v>
      </c>
      <c r="F5" s="6" t="str">
        <f>VLOOKUP(E5,Справочник!$D$2:$E$119,2,FALSE)</f>
        <v>Пономарев Олег Александрович</v>
      </c>
      <c r="G5" s="6" t="s">
        <v>13</v>
      </c>
      <c r="H5" s="7" t="str">
        <f>VLOOKUP(G5,Справочник!$D$2:$E$119,2,FALSE)</f>
        <v>Зокирова Зебочон Абдуазимовна</v>
      </c>
      <c r="I5" s="7">
        <v>4</v>
      </c>
      <c r="J5" s="7">
        <v>10</v>
      </c>
    </row>
    <row r="6" spans="1:10" ht="34.049999999999997" customHeight="1" x14ac:dyDescent="0.3">
      <c r="A6" s="5">
        <v>5</v>
      </c>
      <c r="B6" s="5" t="s">
        <v>25</v>
      </c>
      <c r="C6" s="5" t="str">
        <f>VLOOKUP(B6,Справочник!$A$2:$B$23,2,FALSE)</f>
        <v>Департамент по работе с государственными органами</v>
      </c>
      <c r="D6" s="5" t="s">
        <v>26</v>
      </c>
      <c r="E6" s="5" t="s">
        <v>27</v>
      </c>
      <c r="F6" s="5" t="str">
        <f>VLOOKUP(E6,Справочник!$D$2:$E$119,2,FALSE)</f>
        <v>Самандаров Исроилхоча Вохидхочаевич</v>
      </c>
      <c r="G6" s="5" t="s">
        <v>28</v>
      </c>
      <c r="H6" s="5" t="str">
        <f>VLOOKUP(G6,Справочник!$D$2:$E$119,2,FALSE)</f>
        <v>Солиев Умедчон Абдучалолович</v>
      </c>
      <c r="I6" s="5">
        <v>10</v>
      </c>
      <c r="J6" s="5">
        <v>11</v>
      </c>
    </row>
    <row r="7" spans="1:10" ht="19.95" customHeight="1" x14ac:dyDescent="0.3">
      <c r="A7" s="6">
        <v>6</v>
      </c>
      <c r="B7" s="5" t="s">
        <v>29</v>
      </c>
      <c r="C7" s="5" t="str">
        <f>VLOOKUP(B7,Справочник!$A$2:$B$23,2,FALSE)</f>
        <v>Департамент продажи муки (Опт)</v>
      </c>
      <c r="D7" s="5" t="s">
        <v>30</v>
      </c>
      <c r="E7" s="5" t="s">
        <v>31</v>
      </c>
      <c r="F7" s="6" t="str">
        <f>VLOOKUP(E7,Справочник!$D$2:$E$119,2,FALSE)</f>
        <v>Урунов Акмалхуча Абдуллоевич</v>
      </c>
      <c r="G7" s="6" t="s">
        <v>21</v>
      </c>
      <c r="H7" s="7" t="str">
        <f>VLOOKUP(G7,Справочник!$D$2:$E$119,2,FALSE)</f>
        <v>Кодиров Камолчон Насимчонович</v>
      </c>
      <c r="I7" s="7">
        <v>16</v>
      </c>
      <c r="J7" s="7">
        <v>9</v>
      </c>
    </row>
    <row r="8" spans="1:10" ht="19.95" customHeight="1" x14ac:dyDescent="0.3">
      <c r="A8" s="5">
        <v>7</v>
      </c>
      <c r="B8" s="5" t="s">
        <v>32</v>
      </c>
      <c r="C8" s="5" t="str">
        <f>VLOOKUP(B8,Справочник!$A$2:$B$23,2,FALSE)</f>
        <v>Департамент Развития</v>
      </c>
      <c r="D8" s="5" t="s">
        <v>33</v>
      </c>
      <c r="E8" s="5" t="s">
        <v>34</v>
      </c>
      <c r="F8" s="5" t="str">
        <f>VLOOKUP(E8,Справочник!$D$2:$E$119,2,FALSE)</f>
        <v>Ахроров Ахрорхон Аълохонович</v>
      </c>
      <c r="G8" s="5" t="s">
        <v>35</v>
      </c>
      <c r="H8" s="5" t="str">
        <f>VLOOKUP(G8,Справочник!$D$2:$E$119,2,FALSE)</f>
        <v>Каримов Дилшодчон Зафарчонович</v>
      </c>
      <c r="I8" s="5">
        <v>8</v>
      </c>
      <c r="J8" s="5">
        <v>21</v>
      </c>
    </row>
    <row r="9" spans="1:10" ht="19.95" customHeight="1" x14ac:dyDescent="0.3">
      <c r="A9" s="6">
        <v>8</v>
      </c>
      <c r="B9" s="5" t="s">
        <v>36</v>
      </c>
      <c r="C9" s="5" t="str">
        <f>VLOOKUP(B9,Справочник!$A$2:$B$23,2,FALSE)</f>
        <v>Департамент Снабжения</v>
      </c>
      <c r="D9" s="5" t="s">
        <v>23</v>
      </c>
      <c r="E9" s="5" t="s">
        <v>24</v>
      </c>
      <c r="F9" s="6" t="str">
        <f>VLOOKUP(E9,Справочник!$D$2:$E$119,2,FALSE)</f>
        <v>Пономарев Олег Александрович</v>
      </c>
      <c r="G9" s="6" t="s">
        <v>13</v>
      </c>
      <c r="H9" s="7" t="str">
        <f>VLOOKUP(G9,Справочник!$D$2:$E$119,2,FALSE)</f>
        <v>Зокирова Зебочон Абдуазимовна</v>
      </c>
      <c r="I9" s="7">
        <v>11</v>
      </c>
      <c r="J9" s="7">
        <v>12</v>
      </c>
    </row>
    <row r="10" spans="1:10" ht="34.049999999999997" customHeight="1" x14ac:dyDescent="0.3">
      <c r="A10" s="5">
        <v>9</v>
      </c>
      <c r="B10" s="5" t="s">
        <v>37</v>
      </c>
      <c r="C10" s="5" t="str">
        <f>VLOOKUP(B10,Справочник!$A$2:$B$23,2,FALSE)</f>
        <v>Дивизион масла</v>
      </c>
      <c r="D10" s="5" t="s">
        <v>38</v>
      </c>
      <c r="E10" s="5" t="s">
        <v>39</v>
      </c>
      <c r="F10" s="5" t="str">
        <f>VLOOKUP(E10,Справочник!$D$2:$E$119,2,FALSE)</f>
        <v>Ахмедбоев Мубинчон Мукимчонович</v>
      </c>
      <c r="G10" s="5" t="s">
        <v>13</v>
      </c>
      <c r="H10" s="5" t="str">
        <f>VLOOKUP(G10,Справочник!$D$2:$E$119,2,FALSE)</f>
        <v>Зокирова Зебочон Абдуазимовна</v>
      </c>
      <c r="I10" s="5">
        <v>16</v>
      </c>
      <c r="J10" s="5">
        <v>17</v>
      </c>
    </row>
    <row r="11" spans="1:10" ht="34.049999999999997" customHeight="1" x14ac:dyDescent="0.3">
      <c r="A11" s="6">
        <v>10</v>
      </c>
      <c r="B11" s="5" t="s">
        <v>40</v>
      </c>
      <c r="C11" s="5" t="str">
        <f>VLOOKUP(B11,Справочник!$A$2:$B$23,2,FALSE)</f>
        <v>Дивизион МК</v>
      </c>
      <c r="D11" s="5" t="s">
        <v>41</v>
      </c>
      <c r="E11" s="5" t="s">
        <v>42</v>
      </c>
      <c r="F11" s="6" t="str">
        <f>VLOOKUP(E11,Справочник!$D$2:$E$119,2,FALSE)</f>
        <v>Самандаров Исмоилхоча Вохидхочаевич</v>
      </c>
      <c r="G11" s="6" t="s">
        <v>43</v>
      </c>
      <c r="H11" s="7" t="str">
        <f>VLOOKUP(G11,Справочник!$D$2:$E$119,2,FALSE)</f>
        <v>Собиров Аличон Лахаевич</v>
      </c>
      <c r="I11" s="7">
        <v>3</v>
      </c>
      <c r="J11" s="7">
        <v>33</v>
      </c>
    </row>
    <row r="12" spans="1:10" ht="19.95" customHeight="1" x14ac:dyDescent="0.3">
      <c r="A12" s="5">
        <v>11</v>
      </c>
      <c r="B12" s="5" t="s">
        <v>44</v>
      </c>
      <c r="C12" s="5" t="str">
        <f>VLOOKUP(B12,Справочник!$A$2:$B$23,2,FALSE)</f>
        <v>Дивизион Птицефабрики</v>
      </c>
      <c r="D12" s="5" t="s">
        <v>45</v>
      </c>
      <c r="E12" s="5" t="s">
        <v>46</v>
      </c>
      <c r="F12" s="5" t="str">
        <f>VLOOKUP(E12,Справочник!$D$2:$E$119,2,FALSE)</f>
        <v>Валиев Максудчон Абдуганиевич</v>
      </c>
      <c r="G12" s="5" t="s">
        <v>17</v>
      </c>
      <c r="H12" s="5" t="str">
        <f>VLOOKUP(G12,Справочник!$D$2:$E$119,2,FALSE)</f>
        <v>Боев Иброхимчон Далерович</v>
      </c>
      <c r="I12" s="5">
        <v>11</v>
      </c>
      <c r="J12" s="5">
        <v>15</v>
      </c>
    </row>
    <row r="13" spans="1:10" ht="34.049999999999997" customHeight="1" x14ac:dyDescent="0.3">
      <c r="A13" s="6">
        <v>12</v>
      </c>
      <c r="B13" s="5" t="s">
        <v>47</v>
      </c>
      <c r="C13" s="5" t="str">
        <f>VLOOKUP(B13,Справочник!$A$2:$B$23,2,FALSE)</f>
        <v>Отдел маркетинга</v>
      </c>
      <c r="D13" s="5" t="s">
        <v>48</v>
      </c>
      <c r="E13" s="5" t="s">
        <v>49</v>
      </c>
      <c r="F13" s="6" t="str">
        <f>VLOOKUP(E13,Справочник!$D$2:$E$119,2,FALSE)</f>
        <v>Афанасьева Людмила Владимеровна</v>
      </c>
      <c r="G13" s="6" t="s">
        <v>35</v>
      </c>
      <c r="H13" s="7" t="str">
        <f>VLOOKUP(G13,Справочник!$D$2:$E$119,2,FALSE)</f>
        <v>Каримов Дилшодчон Зафарчонович</v>
      </c>
      <c r="I13" s="7">
        <v>6</v>
      </c>
      <c r="J13" s="7">
        <v>21</v>
      </c>
    </row>
    <row r="14" spans="1:10" ht="19.95" customHeight="1" x14ac:dyDescent="0.3">
      <c r="A14" s="5">
        <v>13</v>
      </c>
      <c r="B14" s="5" t="s">
        <v>50</v>
      </c>
      <c r="C14" s="5" t="str">
        <f>VLOOKUP(B14,Справочник!$A$2:$B$23,2,FALSE)</f>
        <v>Продажа комбикорм</v>
      </c>
      <c r="D14" s="5" t="s">
        <v>51</v>
      </c>
      <c r="E14" s="5" t="s">
        <v>52</v>
      </c>
      <c r="F14" s="5" t="str">
        <f>VLOOKUP(E14,Справочник!$D$2:$E$119,2,FALSE)</f>
        <v>Рахмонов Умедчон Турсунбоевич</v>
      </c>
      <c r="G14" s="5" t="s">
        <v>21</v>
      </c>
      <c r="H14" s="5" t="str">
        <f>VLOOKUP(G14,Справочник!$D$2:$E$119,2,FALSE)</f>
        <v>Кодиров Камолчон Насимчонович</v>
      </c>
      <c r="I14" s="5">
        <v>14</v>
      </c>
      <c r="J14" s="5">
        <v>3</v>
      </c>
    </row>
    <row r="15" spans="1:10" ht="19.95" customHeight="1" x14ac:dyDescent="0.3">
      <c r="A15" s="6">
        <v>14</v>
      </c>
      <c r="B15" s="5" t="s">
        <v>53</v>
      </c>
      <c r="C15" s="5" t="str">
        <f>VLOOKUP(B15,Справочник!$A$2:$B$23,2,FALSE)</f>
        <v>Проектный офис</v>
      </c>
      <c r="D15" s="5" t="s">
        <v>54</v>
      </c>
      <c r="E15" s="5" t="s">
        <v>55</v>
      </c>
      <c r="F15" s="6" t="str">
        <f>VLOOKUP(E15,Справочник!$D$2:$E$119,2,FALSE)</f>
        <v>Арипов Махсуд Махмудович</v>
      </c>
      <c r="G15" s="6" t="s">
        <v>35</v>
      </c>
      <c r="H15" s="7" t="str">
        <f>VLOOKUP(G15,Справочник!$D$2:$E$119,2,FALSE)</f>
        <v>Каримов Дилшодчон Зафарчонович</v>
      </c>
      <c r="I15" s="7">
        <v>7</v>
      </c>
      <c r="J15" s="7">
        <v>6</v>
      </c>
    </row>
    <row r="16" spans="1:10" ht="19.95" customHeight="1" x14ac:dyDescent="0.3">
      <c r="A16" s="5">
        <v>15</v>
      </c>
      <c r="B16" s="5" t="s">
        <v>56</v>
      </c>
      <c r="C16" s="5" t="str">
        <f>VLOOKUP(B16,Справочник!$A$2:$B$23,2,FALSE)</f>
        <v>Производства комбикормов</v>
      </c>
      <c r="D16" s="5" t="s">
        <v>57</v>
      </c>
      <c r="E16" s="5" t="s">
        <v>58</v>
      </c>
      <c r="F16" s="5" t="str">
        <f>VLOOKUP(E16,Справочник!$D$2:$E$119,2,FALSE)</f>
        <v>Чураев Равшан Абдухакимович</v>
      </c>
      <c r="G16" s="5" t="s">
        <v>17</v>
      </c>
      <c r="H16" s="5" t="str">
        <f>VLOOKUP(G16,Справочник!$D$2:$E$119,2,FALSE)</f>
        <v>Боев Иброхимчон Далерович</v>
      </c>
      <c r="I16" s="5">
        <v>4</v>
      </c>
      <c r="J16" s="5">
        <v>19</v>
      </c>
    </row>
    <row r="17" spans="1:10" ht="34.049999999999997" customHeight="1" x14ac:dyDescent="0.3">
      <c r="A17" s="6">
        <v>16</v>
      </c>
      <c r="B17" s="5" t="s">
        <v>59</v>
      </c>
      <c r="C17" s="5" t="str">
        <f>VLOOKUP(B17,Справочник!$A$2:$B$23,2,FALSE)</f>
        <v>Производства Муки</v>
      </c>
      <c r="D17" s="5" t="s">
        <v>60</v>
      </c>
      <c r="E17" s="5" t="s">
        <v>61</v>
      </c>
      <c r="F17" s="6" t="str">
        <f>VLOOKUP(E17,Справочник!$D$2:$E$119,2,FALSE)</f>
        <v>Искандаров Хайрулло Абдуллоевич</v>
      </c>
      <c r="G17" s="6" t="s">
        <v>28</v>
      </c>
      <c r="H17" s="7" t="str">
        <f>VLOOKUP(G17,Справочник!$D$2:$E$119,2,FALSE)</f>
        <v>Солиев Умедчон Абдучалолович</v>
      </c>
      <c r="I17" s="7">
        <v>16</v>
      </c>
      <c r="J17" s="7">
        <v>22</v>
      </c>
    </row>
    <row r="18" spans="1:10" ht="34.049999999999997" customHeight="1" x14ac:dyDescent="0.3">
      <c r="A18" s="5">
        <v>17</v>
      </c>
      <c r="B18" s="5" t="s">
        <v>62</v>
      </c>
      <c r="C18" s="5" t="str">
        <f>VLOOKUP(B18,Справочник!$A$2:$B$23,2,FALSE)</f>
        <v>Производство ЖБИ</v>
      </c>
      <c r="D18" s="5" t="s">
        <v>63</v>
      </c>
      <c r="E18" s="5" t="s">
        <v>64</v>
      </c>
      <c r="F18" s="5" t="str">
        <f>VLOOKUP(E18,Справочник!$D$2:$E$119,2,FALSE)</f>
        <v>Шарифов Саидхоча Мамадович</v>
      </c>
      <c r="G18" s="5" t="s">
        <v>43</v>
      </c>
      <c r="H18" s="5" t="str">
        <f>VLOOKUP(G18,Справочник!$D$2:$E$119,2,FALSE)</f>
        <v>Собиров Аличон Лахаевич</v>
      </c>
      <c r="I18" s="5">
        <v>13</v>
      </c>
      <c r="J18" s="5">
        <v>17</v>
      </c>
    </row>
    <row r="19" spans="1:10" ht="19.95" customHeight="1" x14ac:dyDescent="0.3">
      <c r="A19" s="6">
        <v>18</v>
      </c>
      <c r="B19" s="5" t="s">
        <v>65</v>
      </c>
      <c r="C19" s="5" t="str">
        <f>VLOOKUP(B19,Справочник!$A$2:$B$23,2,FALSE)</f>
        <v>Производство Кирпичзавод</v>
      </c>
      <c r="D19" s="5" t="s">
        <v>66</v>
      </c>
      <c r="E19" s="5" t="s">
        <v>67</v>
      </c>
      <c r="F19" s="6" t="str">
        <f>VLOOKUP(E19,Справочник!$D$2:$E$119,2,FALSE)</f>
        <v>Шамсиев Мансурчон Муродович</v>
      </c>
      <c r="G19" s="6" t="s">
        <v>43</v>
      </c>
      <c r="H19" s="7" t="str">
        <f>VLOOKUP(G19,Справочник!$D$2:$E$119,2,FALSE)</f>
        <v>Собиров Аличон Лахаевич</v>
      </c>
      <c r="I19" s="7">
        <v>8</v>
      </c>
      <c r="J19" s="7">
        <v>19</v>
      </c>
    </row>
    <row r="20" spans="1:10" ht="34.049999999999997" customHeight="1" x14ac:dyDescent="0.3">
      <c r="A20" s="5">
        <v>19</v>
      </c>
      <c r="B20" s="5" t="s">
        <v>68</v>
      </c>
      <c r="C20" s="5" t="str">
        <f>VLOOKUP(B20,Справочник!$A$2:$B$23,2,FALSE)</f>
        <v>Производство РБУ</v>
      </c>
      <c r="D20" s="5" t="s">
        <v>69</v>
      </c>
      <c r="E20" s="5" t="s">
        <v>70</v>
      </c>
      <c r="F20" s="5" t="str">
        <f>VLOOKUP(E20,Справочник!$D$2:$E$119,2,FALSE)</f>
        <v>Окилов Баротчон Камолович</v>
      </c>
      <c r="G20" s="5" t="s">
        <v>43</v>
      </c>
      <c r="H20" s="5" t="str">
        <f>VLOOKUP(G20,Справочник!$D$2:$E$119,2,FALSE)</f>
        <v>Собиров Аличон Лахаевич</v>
      </c>
      <c r="I20" s="5">
        <v>13</v>
      </c>
      <c r="J20" s="5">
        <v>9</v>
      </c>
    </row>
    <row r="21" spans="1:10" ht="61.95" customHeight="1" x14ac:dyDescent="0.3">
      <c r="A21" s="6">
        <v>20</v>
      </c>
      <c r="B21" s="5" t="s">
        <v>71</v>
      </c>
      <c r="C21" s="5" t="str">
        <f>VLOOKUP(B21,Справочник!$A$2:$B$23,2,FALSE)</f>
        <v>Проиозводство Гравий</v>
      </c>
      <c r="D21" s="5" t="s">
        <v>72</v>
      </c>
      <c r="E21" s="5" t="s">
        <v>73</v>
      </c>
      <c r="F21" s="6" t="str">
        <f>VLOOKUP(E21,Справочник!$D$2:$E$119,2,FALSE)</f>
        <v>Абдувохидов Чамшед Шарифчонович</v>
      </c>
      <c r="G21" s="6" t="s">
        <v>43</v>
      </c>
      <c r="H21" s="7" t="str">
        <f>VLOOKUP(G21,Справочник!$D$2:$E$119,2,FALSE)</f>
        <v>Собиров Аличон Лахаевич</v>
      </c>
      <c r="I21" s="7">
        <v>18</v>
      </c>
      <c r="J21" s="7">
        <v>20</v>
      </c>
    </row>
    <row r="22" spans="1:10" ht="19.95" customHeight="1" x14ac:dyDescent="0.3">
      <c r="A22" s="5">
        <v>21</v>
      </c>
      <c r="B22" s="5" t="s">
        <v>74</v>
      </c>
      <c r="C22" s="5" t="str">
        <f>VLOOKUP(B22,Справочник!$A$2:$B$23,2,FALSE)</f>
        <v>Служба Внутреннего аудита</v>
      </c>
      <c r="D22" s="5" t="s">
        <v>75</v>
      </c>
      <c r="E22" s="5" t="s">
        <v>76</v>
      </c>
      <c r="F22" s="5" t="str">
        <f>VLOOKUP(E22,Справочник!$D$2:$E$119,2,FALSE)</f>
        <v>Рабиев Илхомджон Бобочонович</v>
      </c>
      <c r="G22" s="5" t="s">
        <v>35</v>
      </c>
      <c r="H22" s="5" t="str">
        <f>VLOOKUP(G22,Справочник!$D$2:$E$119,2,FALSE)</f>
        <v>Каримов Дилшодчон Зафарчонович</v>
      </c>
      <c r="I22" s="5">
        <v>4</v>
      </c>
      <c r="J22" s="5">
        <v>3</v>
      </c>
    </row>
    <row r="23" spans="1:10" ht="19.95" customHeight="1" x14ac:dyDescent="0.3">
      <c r="A23" s="6">
        <v>22</v>
      </c>
      <c r="B23" s="5" t="s">
        <v>77</v>
      </c>
      <c r="C23" s="5" t="str">
        <f>VLOOKUP(B23,Справочник!$A$2:$B$23,2,FALSE)</f>
        <v>Финансовый департамент</v>
      </c>
      <c r="D23" s="5" t="s">
        <v>78</v>
      </c>
      <c r="E23" s="5" t="s">
        <v>79</v>
      </c>
      <c r="F23" s="6" t="str">
        <f>VLOOKUP(E23,Справочник!$D$2:$E$119,2,FALSE)</f>
        <v>Бабаджанов Бахромхон</v>
      </c>
      <c r="G23" s="6" t="s">
        <v>80</v>
      </c>
      <c r="H23" s="7" t="str">
        <f>VLOOKUP(G23,Справочник!$D$2:$E$119,2,FALSE)</f>
        <v>Шукурова Мадинахон Анваровна</v>
      </c>
      <c r="I23" s="7">
        <v>17</v>
      </c>
      <c r="J23" s="7">
        <v>36</v>
      </c>
    </row>
  </sheetData>
  <autoFilter ref="A1:J1" xr:uid="{00000000-0009-0000-0000-000000000000}"/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2"/>
  <sheetViews>
    <sheetView topLeftCell="C1" zoomScaleNormal="100" workbookViewId="0">
      <pane ySplit="1" topLeftCell="A2" activePane="bottomLeft" state="frozen"/>
      <selection pane="bottomLeft" activeCell="I2" sqref="I2"/>
    </sheetView>
  </sheetViews>
  <sheetFormatPr defaultColWidth="37.88671875" defaultRowHeight="14.4" customHeight="1" x14ac:dyDescent="0.3"/>
  <cols>
    <col min="1" max="1" width="7.5546875" style="4" bestFit="1" customWidth="1"/>
    <col min="2" max="2" width="20" style="4" bestFit="1" customWidth="1"/>
    <col min="3" max="3" width="36.5546875" style="4" bestFit="1" customWidth="1"/>
    <col min="4" max="4" width="20.6640625" style="4" bestFit="1" customWidth="1"/>
    <col min="5" max="5" width="37.21875" style="4" bestFit="1" customWidth="1"/>
    <col min="6" max="6" width="13.77734375" style="4" bestFit="1" customWidth="1"/>
    <col min="7" max="7" width="32.77734375" style="4" bestFit="1" customWidth="1"/>
    <col min="8" max="8" width="17.21875" style="4" bestFit="1" customWidth="1"/>
    <col min="9" max="9" width="36" style="4" bestFit="1" customWidth="1"/>
    <col min="10" max="16384" width="37.88671875" style="4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81</v>
      </c>
      <c r="I1" s="1" t="s">
        <v>82</v>
      </c>
    </row>
    <row r="2" spans="1:9" ht="19.95" customHeight="1" x14ac:dyDescent="0.3">
      <c r="A2" s="5">
        <v>1</v>
      </c>
      <c r="B2" s="5" t="s">
        <v>10</v>
      </c>
      <c r="C2" s="5" t="str">
        <f>VLOOKUP(B2,Справочник!$A$2:$B$23,2,FALSE)</f>
        <v>Главная лаборатория</v>
      </c>
      <c r="D2" s="5" t="s">
        <v>12</v>
      </c>
      <c r="E2" s="5" t="str">
        <f>VLOOKUP(D2,Справочник!$D$2:$E$119,2,FALSE)</f>
        <v>Исломов Чамшед Абдукахорович</v>
      </c>
      <c r="F2" s="2" t="s">
        <v>13</v>
      </c>
      <c r="G2" s="5" t="str">
        <f>VLOOKUP(F2,Справочник!$D$2:$E$119,2,FALSE)</f>
        <v>Зокирова Зебочон Абдуазимовна</v>
      </c>
      <c r="H2" s="2" t="s">
        <v>83</v>
      </c>
      <c r="I2" s="5" t="str">
        <f>VLOOKUP(H2,Справочник!$H$2:$I$164,2,FALSE)</f>
        <v>Молочная радость (Афзал)</v>
      </c>
    </row>
    <row r="3" spans="1:9" ht="19.95" customHeight="1" x14ac:dyDescent="0.3">
      <c r="A3" s="6">
        <v>2</v>
      </c>
      <c r="B3" s="5" t="s">
        <v>10</v>
      </c>
      <c r="C3" s="5" t="str">
        <f>VLOOKUP(B3,Справочник!$A$2:$B$23,2,FALSE)</f>
        <v>Главная лаборатория</v>
      </c>
      <c r="D3" s="5" t="s">
        <v>12</v>
      </c>
      <c r="E3" s="5" t="str">
        <f>VLOOKUP(D3,Справочник!$D$2:$E$119,2,FALSE)</f>
        <v>Исломов Чамшед Абдукахорович</v>
      </c>
      <c r="F3" s="2" t="s">
        <v>13</v>
      </c>
      <c r="G3" s="7" t="str">
        <f>VLOOKUP(F3,Справочник!$D$2:$E$119,2,FALSE)</f>
        <v>Зокирова Зебочон Абдуазимовна</v>
      </c>
      <c r="H3" s="2" t="s">
        <v>84</v>
      </c>
      <c r="I3" s="7" t="str">
        <f>VLOOKUP(H3,Справочник!$H$2:$I$164,2,FALSE)</f>
        <v>ҶДММ "Орди Фатир"</v>
      </c>
    </row>
    <row r="4" spans="1:9" ht="19.95" customHeight="1" x14ac:dyDescent="0.3">
      <c r="A4" s="5">
        <v>3</v>
      </c>
      <c r="B4" s="5" t="s">
        <v>10</v>
      </c>
      <c r="C4" s="5" t="str">
        <f>VLOOKUP(B4,Справочник!$A$2:$B$23,2,FALSE)</f>
        <v>Главная лаборатория</v>
      </c>
      <c r="D4" s="5" t="s">
        <v>12</v>
      </c>
      <c r="E4" s="5" t="str">
        <f>VLOOKUP(D4,Справочник!$D$2:$E$119,2,FALSE)</f>
        <v>Исломов Чамшед Абдукахорович</v>
      </c>
      <c r="F4" s="2" t="s">
        <v>13</v>
      </c>
      <c r="G4" s="5" t="str">
        <f>VLOOKUP(F4,Справочник!$D$2:$E$119,2,FALSE)</f>
        <v>Зокирова Зебочон Абдуазимовна</v>
      </c>
      <c r="H4" s="2" t="s">
        <v>85</v>
      </c>
      <c r="I4" s="5" t="str">
        <f>VLOOKUP(H4,Справочник!$H$2:$I$164,2,FALSE)</f>
        <v>ҶДММ "СеганҶ"</v>
      </c>
    </row>
    <row r="5" spans="1:9" ht="34.049999999999997" customHeight="1" x14ac:dyDescent="0.3">
      <c r="A5" s="6">
        <v>4</v>
      </c>
      <c r="B5" s="5" t="s">
        <v>14</v>
      </c>
      <c r="C5" s="5" t="str">
        <f>VLOOKUP(B5,Справочник!$A$2:$B$23,2,FALSE)</f>
        <v>Департамент бройлерного направления</v>
      </c>
      <c r="D5" s="5" t="s">
        <v>16</v>
      </c>
      <c r="E5" s="5" t="str">
        <f>VLOOKUP(D5,Справочник!$D$2:$E$119,2,FALSE)</f>
        <v>Рустамов Рахимджон Мухамадович</v>
      </c>
      <c r="F5" s="2" t="s">
        <v>17</v>
      </c>
      <c r="G5" s="7" t="str">
        <f>VLOOKUP(F5,Справочник!$D$2:$E$119,2,FALSE)</f>
        <v>Боев Иброхимчон Далерович</v>
      </c>
      <c r="H5" s="2" t="s">
        <v>86</v>
      </c>
      <c r="I5" s="7" t="str">
        <f>VLOOKUP(H5,Справочник!$H$2:$I$164,2,FALSE)</f>
        <v>Азиза</v>
      </c>
    </row>
    <row r="6" spans="1:9" ht="34.049999999999997" customHeight="1" x14ac:dyDescent="0.3">
      <c r="A6" s="5">
        <v>5</v>
      </c>
      <c r="B6" s="5" t="s">
        <v>14</v>
      </c>
      <c r="C6" s="5" t="str">
        <f>VLOOKUP(B6,Справочник!$A$2:$B$23,2,FALSE)</f>
        <v>Департамент бройлерного направления</v>
      </c>
      <c r="D6" s="5" t="s">
        <v>16</v>
      </c>
      <c r="E6" s="5" t="str">
        <f>VLOOKUP(D6,Справочник!$D$2:$E$119,2,FALSE)</f>
        <v>Рустамов Рахимджон Мухамадович</v>
      </c>
      <c r="F6" s="2" t="s">
        <v>17</v>
      </c>
      <c r="G6" s="5" t="str">
        <f>VLOOKUP(F6,Справочник!$D$2:$E$119,2,FALSE)</f>
        <v>Боев Иброхимчон Далерович</v>
      </c>
      <c r="H6" s="2" t="s">
        <v>87</v>
      </c>
      <c r="I6" s="5" t="str">
        <f>VLOOKUP(H6,Справочник!$H$2:$I$164,2,FALSE)</f>
        <v>Байзо</v>
      </c>
    </row>
    <row r="7" spans="1:9" ht="34.049999999999997" customHeight="1" x14ac:dyDescent="0.3">
      <c r="A7" s="6">
        <v>6</v>
      </c>
      <c r="B7" s="5" t="s">
        <v>14</v>
      </c>
      <c r="C7" s="5" t="str">
        <f>VLOOKUP(B7,Справочник!$A$2:$B$23,2,FALSE)</f>
        <v>Департамент бройлерного направления</v>
      </c>
      <c r="D7" s="5" t="s">
        <v>16</v>
      </c>
      <c r="E7" s="5" t="str">
        <f>VLOOKUP(D7,Справочник!$D$2:$E$119,2,FALSE)</f>
        <v>Рустамов Рахимджон Мухамадович</v>
      </c>
      <c r="F7" s="2" t="s">
        <v>17</v>
      </c>
      <c r="G7" s="7" t="str">
        <f>VLOOKUP(F7,Справочник!$D$2:$E$119,2,FALSE)</f>
        <v>Боев Иброхимчон Далерович</v>
      </c>
      <c r="H7" s="2" t="s">
        <v>88</v>
      </c>
      <c r="I7" s="7" t="str">
        <f>VLOOKUP(H7,Справочник!$H$2:$I$164,2,FALSE)</f>
        <v>Баракат</v>
      </c>
    </row>
    <row r="8" spans="1:9" ht="34.049999999999997" customHeight="1" x14ac:dyDescent="0.3">
      <c r="A8" s="5">
        <v>7</v>
      </c>
      <c r="B8" s="5" t="s">
        <v>14</v>
      </c>
      <c r="C8" s="5" t="str">
        <f>VLOOKUP(B8,Справочник!$A$2:$B$23,2,FALSE)</f>
        <v>Департамент бройлерного направления</v>
      </c>
      <c r="D8" s="5" t="s">
        <v>16</v>
      </c>
      <c r="E8" s="5" t="str">
        <f>VLOOKUP(D8,Справочник!$D$2:$E$119,2,FALSE)</f>
        <v>Рустамов Рахимджон Мухамадович</v>
      </c>
      <c r="F8" s="2" t="s">
        <v>17</v>
      </c>
      <c r="G8" s="5" t="str">
        <f>VLOOKUP(F8,Справочник!$D$2:$E$119,2,FALSE)</f>
        <v>Боев Иброхимчон Далерович</v>
      </c>
      <c r="H8" s="2" t="s">
        <v>89</v>
      </c>
      <c r="I8" s="5" t="str">
        <f>VLOOKUP(H8,Справочник!$H$2:$I$164,2,FALSE)</f>
        <v>Ганчи Сомон</v>
      </c>
    </row>
    <row r="9" spans="1:9" ht="34.049999999999997" customHeight="1" x14ac:dyDescent="0.3">
      <c r="A9" s="6">
        <v>8</v>
      </c>
      <c r="B9" s="5" t="s">
        <v>14</v>
      </c>
      <c r="C9" s="5" t="str">
        <f>VLOOKUP(B9,Справочник!$A$2:$B$23,2,FALSE)</f>
        <v>Департамент бройлерного направления</v>
      </c>
      <c r="D9" s="5" t="s">
        <v>16</v>
      </c>
      <c r="E9" s="5" t="str">
        <f>VLOOKUP(D9,Справочник!$D$2:$E$119,2,FALSE)</f>
        <v>Рустамов Рахимджон Мухамадович</v>
      </c>
      <c r="F9" s="2" t="s">
        <v>17</v>
      </c>
      <c r="G9" s="7" t="str">
        <f>VLOOKUP(F9,Справочник!$D$2:$E$119,2,FALSE)</f>
        <v>Боев Иброхимчон Далерович</v>
      </c>
      <c r="H9" s="2" t="s">
        <v>90</v>
      </c>
      <c r="I9" s="7" t="str">
        <f>VLOOKUP(H9,Справочник!$H$2:$I$164,2,FALSE)</f>
        <v>Далерон</v>
      </c>
    </row>
    <row r="10" spans="1:9" ht="34.049999999999997" customHeight="1" x14ac:dyDescent="0.3">
      <c r="A10" s="5">
        <v>9</v>
      </c>
      <c r="B10" s="5" t="s">
        <v>14</v>
      </c>
      <c r="C10" s="5" t="str">
        <f>VLOOKUP(B10,Справочник!$A$2:$B$23,2,FALSE)</f>
        <v>Департамент бройлерного направления</v>
      </c>
      <c r="D10" s="5" t="s">
        <v>16</v>
      </c>
      <c r="E10" s="5" t="str">
        <f>VLOOKUP(D10,Справочник!$D$2:$E$119,2,FALSE)</f>
        <v>Рустамов Рахимджон Мухамадович</v>
      </c>
      <c r="F10" s="2" t="s">
        <v>17</v>
      </c>
      <c r="G10" s="5" t="str">
        <f>VLOOKUP(F10,Справочник!$D$2:$E$119,2,FALSE)</f>
        <v>Боев Иброхимчон Далерович</v>
      </c>
      <c r="H10" s="2" t="s">
        <v>91</v>
      </c>
      <c r="I10" s="5" t="str">
        <f>VLOOKUP(H10,Справочник!$H$2:$I$164,2,FALSE)</f>
        <v>Зарнисор</v>
      </c>
    </row>
    <row r="11" spans="1:9" ht="34.049999999999997" customHeight="1" x14ac:dyDescent="0.3">
      <c r="A11" s="6">
        <v>10</v>
      </c>
      <c r="B11" s="5" t="s">
        <v>14</v>
      </c>
      <c r="C11" s="5" t="str">
        <f>VLOOKUP(B11,Справочник!$A$2:$B$23,2,FALSE)</f>
        <v>Департамент бройлерного направления</v>
      </c>
      <c r="D11" s="5" t="s">
        <v>16</v>
      </c>
      <c r="E11" s="5" t="str">
        <f>VLOOKUP(D11,Справочник!$D$2:$E$119,2,FALSE)</f>
        <v>Рустамов Рахимджон Мухамадович</v>
      </c>
      <c r="F11" s="2" t="s">
        <v>17</v>
      </c>
      <c r="G11" s="7" t="str">
        <f>VLOOKUP(F11,Справочник!$D$2:$E$119,2,FALSE)</f>
        <v>Боев Иброхимчон Далерович</v>
      </c>
      <c r="H11" s="2" t="s">
        <v>92</v>
      </c>
      <c r="I11" s="7" t="str">
        <f>VLOOKUP(H11,Справочник!$H$2:$I$164,2,FALSE)</f>
        <v>Икбол</v>
      </c>
    </row>
    <row r="12" spans="1:9" ht="34.049999999999997" customHeight="1" x14ac:dyDescent="0.3">
      <c r="A12" s="5">
        <v>11</v>
      </c>
      <c r="B12" s="5" t="s">
        <v>14</v>
      </c>
      <c r="C12" s="5" t="str">
        <f>VLOOKUP(B12,Справочник!$A$2:$B$23,2,FALSE)</f>
        <v>Департамент бройлерного направления</v>
      </c>
      <c r="D12" s="5" t="s">
        <v>16</v>
      </c>
      <c r="E12" s="5" t="str">
        <f>VLOOKUP(D12,Справочник!$D$2:$E$119,2,FALSE)</f>
        <v>Рустамов Рахимджон Мухамадович</v>
      </c>
      <c r="F12" s="2" t="s">
        <v>17</v>
      </c>
      <c r="G12" s="5" t="str">
        <f>VLOOKUP(F12,Справочник!$D$2:$E$119,2,FALSE)</f>
        <v>Боев Иброхимчон Далерович</v>
      </c>
      <c r="H12" s="2" t="s">
        <v>93</v>
      </c>
      <c r="I12" s="5" t="str">
        <f>VLOOKUP(H12,Справочник!$H$2:$I$164,2,FALSE)</f>
        <v>Мармари</v>
      </c>
    </row>
    <row r="13" spans="1:9" ht="34.049999999999997" customHeight="1" x14ac:dyDescent="0.3">
      <c r="A13" s="6">
        <v>12</v>
      </c>
      <c r="B13" s="5" t="s">
        <v>14</v>
      </c>
      <c r="C13" s="5" t="str">
        <f>VLOOKUP(B13,Справочник!$A$2:$B$23,2,FALSE)</f>
        <v>Департамент бройлерного направления</v>
      </c>
      <c r="D13" s="5" t="s">
        <v>16</v>
      </c>
      <c r="E13" s="5" t="str">
        <f>VLOOKUP(D13,Справочник!$D$2:$E$119,2,FALSE)</f>
        <v>Рустамов Рахимджон Мухамадович</v>
      </c>
      <c r="F13" s="2" t="s">
        <v>17</v>
      </c>
      <c r="G13" s="7" t="str">
        <f>VLOOKUP(F13,Справочник!$D$2:$E$119,2,FALSE)</f>
        <v>Боев Иброхимчон Далерович</v>
      </c>
      <c r="H13" s="2" t="s">
        <v>94</v>
      </c>
      <c r="I13" s="7" t="str">
        <f>VLOOKUP(H13,Справочник!$H$2:$I$164,2,FALSE)</f>
        <v>Мурги Аълосифат</v>
      </c>
    </row>
    <row r="14" spans="1:9" ht="34.049999999999997" customHeight="1" x14ac:dyDescent="0.3">
      <c r="A14" s="5">
        <v>13</v>
      </c>
      <c r="B14" s="5" t="s">
        <v>14</v>
      </c>
      <c r="C14" s="5" t="str">
        <f>VLOOKUP(B14,Справочник!$A$2:$B$23,2,FALSE)</f>
        <v>Департамент бройлерного направления</v>
      </c>
      <c r="D14" s="5" t="s">
        <v>16</v>
      </c>
      <c r="E14" s="5" t="str">
        <f>VLOOKUP(D14,Справочник!$D$2:$E$119,2,FALSE)</f>
        <v>Рустамов Рахимджон Мухамадович</v>
      </c>
      <c r="F14" s="2" t="s">
        <v>17</v>
      </c>
      <c r="G14" s="5" t="str">
        <f>VLOOKUP(F14,Справочник!$D$2:$E$119,2,FALSE)</f>
        <v>Боев Иброхимчон Далерович</v>
      </c>
      <c r="H14" s="2" t="s">
        <v>95</v>
      </c>
      <c r="I14" s="5" t="str">
        <f>VLOOKUP(H14,Справочник!$H$2:$I$164,2,FALSE)</f>
        <v>Навруз бройлер</v>
      </c>
    </row>
    <row r="15" spans="1:9" ht="34.049999999999997" customHeight="1" x14ac:dyDescent="0.3">
      <c r="A15" s="6">
        <v>14</v>
      </c>
      <c r="B15" s="5" t="s">
        <v>14</v>
      </c>
      <c r="C15" s="5" t="str">
        <f>VLOOKUP(B15,Справочник!$A$2:$B$23,2,FALSE)</f>
        <v>Департамент бройлерного направления</v>
      </c>
      <c r="D15" s="5" t="s">
        <v>16</v>
      </c>
      <c r="E15" s="5" t="str">
        <f>VLOOKUP(D15,Справочник!$D$2:$E$119,2,FALSE)</f>
        <v>Рустамов Рахимджон Мухамадович</v>
      </c>
      <c r="F15" s="2" t="s">
        <v>17</v>
      </c>
      <c r="G15" s="7" t="str">
        <f>VLOOKUP(F15,Справочник!$D$2:$E$119,2,FALSE)</f>
        <v>Боев Иброхимчон Далерович</v>
      </c>
      <c r="H15" s="2" t="s">
        <v>96</v>
      </c>
      <c r="I15" s="7" t="str">
        <f>VLOOKUP(H15,Справочник!$H$2:$I$164,2,FALSE)</f>
        <v>Сайхун</v>
      </c>
    </row>
    <row r="16" spans="1:9" ht="34.049999999999997" customHeight="1" x14ac:dyDescent="0.3">
      <c r="A16" s="5">
        <v>15</v>
      </c>
      <c r="B16" s="5" t="s">
        <v>14</v>
      </c>
      <c r="C16" s="5" t="str">
        <f>VLOOKUP(B16,Справочник!$A$2:$B$23,2,FALSE)</f>
        <v>Департамент бройлерного направления</v>
      </c>
      <c r="D16" s="5" t="s">
        <v>16</v>
      </c>
      <c r="E16" s="5" t="str">
        <f>VLOOKUP(D16,Справочник!$D$2:$E$119,2,FALSE)</f>
        <v>Рустамов Рахимджон Мухамадович</v>
      </c>
      <c r="F16" s="2" t="s">
        <v>17</v>
      </c>
      <c r="G16" s="5" t="str">
        <f>VLOOKUP(F16,Справочник!$D$2:$E$119,2,FALSE)</f>
        <v>Боев Иброхимчон Далерович</v>
      </c>
      <c r="H16" s="2" t="s">
        <v>97</v>
      </c>
      <c r="I16" s="5" t="str">
        <f>VLOOKUP(H16,Справочник!$H$2:$I$164,2,FALSE)</f>
        <v>Саодат</v>
      </c>
    </row>
    <row r="17" spans="1:9" ht="34.049999999999997" customHeight="1" x14ac:dyDescent="0.3">
      <c r="A17" s="6">
        <v>16</v>
      </c>
      <c r="B17" s="5" t="s">
        <v>14</v>
      </c>
      <c r="C17" s="5" t="str">
        <f>VLOOKUP(B17,Справочник!$A$2:$B$23,2,FALSE)</f>
        <v>Департамент бройлерного направления</v>
      </c>
      <c r="D17" s="5" t="s">
        <v>16</v>
      </c>
      <c r="E17" s="5" t="str">
        <f>VLOOKUP(D17,Справочник!$D$2:$E$119,2,FALSE)</f>
        <v>Рустамов Рахимджон Мухамадович</v>
      </c>
      <c r="F17" s="2" t="s">
        <v>17</v>
      </c>
      <c r="G17" s="7" t="str">
        <f>VLOOKUP(F17,Справочник!$D$2:$E$119,2,FALSE)</f>
        <v>Боев Иброхимчон Далерович</v>
      </c>
      <c r="H17" s="2" t="s">
        <v>98</v>
      </c>
      <c r="I17" s="7" t="str">
        <f>VLOOKUP(H17,Справочник!$H$2:$I$164,2,FALSE)</f>
        <v>Ситораи Сугд</v>
      </c>
    </row>
    <row r="18" spans="1:9" ht="34.049999999999997" customHeight="1" x14ac:dyDescent="0.3">
      <c r="A18" s="5">
        <v>17</v>
      </c>
      <c r="B18" s="5" t="s">
        <v>14</v>
      </c>
      <c r="C18" s="5" t="str">
        <f>VLOOKUP(B18,Справочник!$A$2:$B$23,2,FALSE)</f>
        <v>Департамент бройлерного направления</v>
      </c>
      <c r="D18" s="5" t="s">
        <v>16</v>
      </c>
      <c r="E18" s="5" t="str">
        <f>VLOOKUP(D18,Справочник!$D$2:$E$119,2,FALSE)</f>
        <v>Рустамов Рахимджон Мухамадович</v>
      </c>
      <c r="F18" s="2" t="s">
        <v>17</v>
      </c>
      <c r="G18" s="5" t="str">
        <f>VLOOKUP(F18,Справочник!$D$2:$E$119,2,FALSE)</f>
        <v>Боев Иброхимчон Далерович</v>
      </c>
      <c r="H18" s="2" t="s">
        <v>99</v>
      </c>
      <c r="I18" s="5" t="str">
        <f>VLOOKUP(H18,Справочник!$H$2:$I$164,2,FALSE)</f>
        <v>Сугд бройлер</v>
      </c>
    </row>
    <row r="19" spans="1:9" ht="34.049999999999997" customHeight="1" x14ac:dyDescent="0.3">
      <c r="A19" s="6">
        <v>18</v>
      </c>
      <c r="B19" s="5" t="s">
        <v>14</v>
      </c>
      <c r="C19" s="5" t="str">
        <f>VLOOKUP(B19,Справочник!$A$2:$B$23,2,FALSE)</f>
        <v>Департамент бройлерного направления</v>
      </c>
      <c r="D19" s="5" t="s">
        <v>16</v>
      </c>
      <c r="E19" s="5" t="str">
        <f>VLOOKUP(D19,Справочник!$D$2:$E$119,2,FALSE)</f>
        <v>Рустамов Рахимджон Мухамадович</v>
      </c>
      <c r="F19" s="2" t="s">
        <v>17</v>
      </c>
      <c r="G19" s="7" t="str">
        <f>VLOOKUP(F19,Справочник!$D$2:$E$119,2,FALSE)</f>
        <v>Боев Иброхимчон Далерович</v>
      </c>
      <c r="H19" s="2" t="s">
        <v>100</v>
      </c>
      <c r="I19" s="7" t="str">
        <f>VLOOKUP(H19,Справочник!$H$2:$I$164,2,FALSE)</f>
        <v>Файзи Расул</v>
      </c>
    </row>
    <row r="20" spans="1:9" ht="34.049999999999997" customHeight="1" x14ac:dyDescent="0.3">
      <c r="A20" s="5">
        <v>19</v>
      </c>
      <c r="B20" s="5" t="s">
        <v>14</v>
      </c>
      <c r="C20" s="5" t="str">
        <f>VLOOKUP(B20,Справочник!$A$2:$B$23,2,FALSE)</f>
        <v>Департамент бройлерного направления</v>
      </c>
      <c r="D20" s="5" t="s">
        <v>16</v>
      </c>
      <c r="E20" s="5" t="str">
        <f>VLOOKUP(D20,Справочник!$D$2:$E$119,2,FALSE)</f>
        <v>Рустамов Рахимджон Мухамадович</v>
      </c>
      <c r="F20" s="2" t="s">
        <v>17</v>
      </c>
      <c r="G20" s="5" t="str">
        <f>VLOOKUP(F20,Справочник!$D$2:$E$119,2,FALSE)</f>
        <v>Боев Иброхимчон Далерович</v>
      </c>
      <c r="H20" s="2" t="s">
        <v>101</v>
      </c>
      <c r="I20" s="5" t="str">
        <f>VLOOKUP(H20,Справочник!$H$2:$I$164,2,FALSE)</f>
        <v>Файзи Сахар</v>
      </c>
    </row>
    <row r="21" spans="1:9" ht="34.049999999999997" customHeight="1" x14ac:dyDescent="0.3">
      <c r="A21" s="6">
        <v>20</v>
      </c>
      <c r="B21" s="5" t="s">
        <v>14</v>
      </c>
      <c r="C21" s="5" t="str">
        <f>VLOOKUP(B21,Справочник!$A$2:$B$23,2,FALSE)</f>
        <v>Департамент бройлерного направления</v>
      </c>
      <c r="D21" s="5" t="s">
        <v>16</v>
      </c>
      <c r="E21" s="5" t="str">
        <f>VLOOKUP(D21,Справочник!$D$2:$E$119,2,FALSE)</f>
        <v>Рустамов Рахимджон Мухамадович</v>
      </c>
      <c r="F21" s="2" t="s">
        <v>17</v>
      </c>
      <c r="G21" s="7" t="str">
        <f>VLOOKUP(F21,Справочник!$D$2:$E$119,2,FALSE)</f>
        <v>Боев Иброхимчон Далерович</v>
      </c>
      <c r="H21" s="2" t="s">
        <v>102</v>
      </c>
      <c r="I21" s="7" t="str">
        <f>VLOOKUP(H21,Справочник!$H$2:$I$164,2,FALSE)</f>
        <v>Файзи Чахон</v>
      </c>
    </row>
    <row r="22" spans="1:9" ht="34.049999999999997" customHeight="1" x14ac:dyDescent="0.3">
      <c r="A22" s="5">
        <v>21</v>
      </c>
      <c r="B22" s="5" t="s">
        <v>14</v>
      </c>
      <c r="C22" s="5" t="str">
        <f>VLOOKUP(B22,Справочник!$A$2:$B$23,2,FALSE)</f>
        <v>Департамент бройлерного направления</v>
      </c>
      <c r="D22" s="5" t="s">
        <v>16</v>
      </c>
      <c r="E22" s="5" t="str">
        <f>VLOOKUP(D22,Справочник!$D$2:$E$119,2,FALSE)</f>
        <v>Рустамов Рахимджон Мухамадович</v>
      </c>
      <c r="F22" s="2" t="s">
        <v>17</v>
      </c>
      <c r="G22" s="5" t="str">
        <f>VLOOKUP(F22,Справочник!$D$2:$E$119,2,FALSE)</f>
        <v>Боев Иброхимчон Далерович</v>
      </c>
      <c r="H22" s="2" t="s">
        <v>103</v>
      </c>
      <c r="I22" s="5" t="str">
        <f>VLOOKUP(H22,Справочник!$H$2:$I$164,2,FALSE)</f>
        <v>Халол Чикен</v>
      </c>
    </row>
    <row r="23" spans="1:9" ht="19.95" customHeight="1" x14ac:dyDescent="0.3">
      <c r="A23" s="6">
        <v>22</v>
      </c>
      <c r="B23" s="5" t="s">
        <v>18</v>
      </c>
      <c r="C23" s="5" t="str">
        <f>VLOOKUP(B23,Справочник!$A$2:$B$23,2,FALSE)</f>
        <v>Департамент Дистрибуции</v>
      </c>
      <c r="D23" s="5" t="s">
        <v>20</v>
      </c>
      <c r="E23" s="5" t="str">
        <f>VLOOKUP(D23,Справочник!$D$2:$E$119,2,FALSE)</f>
        <v>Хасанов Фарход Сулаймонович</v>
      </c>
      <c r="F23" s="2" t="s">
        <v>21</v>
      </c>
      <c r="G23" s="7" t="str">
        <f>VLOOKUP(F23,Справочник!$D$2:$E$119,2,FALSE)</f>
        <v>Кодиров Камолчон Насимчонович</v>
      </c>
      <c r="H23" s="2" t="s">
        <v>104</v>
      </c>
      <c r="I23" s="7" t="str">
        <f>VLOOKUP(H23,Справочник!$H$2:$I$164,2,FALSE)</f>
        <v>Авангард</v>
      </c>
    </row>
    <row r="24" spans="1:9" ht="19.95" customHeight="1" x14ac:dyDescent="0.3">
      <c r="A24" s="5">
        <v>23</v>
      </c>
      <c r="B24" s="5" t="s">
        <v>18</v>
      </c>
      <c r="C24" s="5" t="str">
        <f>VLOOKUP(B24,Справочник!$A$2:$B$23,2,FALSE)</f>
        <v>Департамент Дистрибуции</v>
      </c>
      <c r="D24" s="5" t="s">
        <v>20</v>
      </c>
      <c r="E24" s="5" t="str">
        <f>VLOOKUP(D24,Справочник!$D$2:$E$119,2,FALSE)</f>
        <v>Хасанов Фарход Сулаймонович</v>
      </c>
      <c r="F24" s="2" t="s">
        <v>21</v>
      </c>
      <c r="G24" s="5" t="str">
        <f>VLOOKUP(F24,Справочник!$D$2:$E$119,2,FALSE)</f>
        <v>Кодиров Камолчон Насимчонович</v>
      </c>
      <c r="H24" s="2" t="s">
        <v>105</v>
      </c>
      <c r="I24" s="5" t="str">
        <f>VLOOKUP(H24,Справочник!$H$2:$I$164,2,FALSE)</f>
        <v>Андалеб</v>
      </c>
    </row>
    <row r="25" spans="1:9" ht="19.95" customHeight="1" x14ac:dyDescent="0.3">
      <c r="A25" s="6">
        <v>24</v>
      </c>
      <c r="B25" s="5" t="s">
        <v>18</v>
      </c>
      <c r="C25" s="5" t="str">
        <f>VLOOKUP(B25,Справочник!$A$2:$B$23,2,FALSE)</f>
        <v>Департамент Дистрибуции</v>
      </c>
      <c r="D25" s="5" t="s">
        <v>20</v>
      </c>
      <c r="E25" s="5" t="str">
        <f>VLOOKUP(D25,Справочник!$D$2:$E$119,2,FALSE)</f>
        <v>Хасанов Фарход Сулаймонович</v>
      </c>
      <c r="F25" s="2" t="s">
        <v>21</v>
      </c>
      <c r="G25" s="7" t="str">
        <f>VLOOKUP(F25,Справочник!$D$2:$E$119,2,FALSE)</f>
        <v>Кодиров Камолчон Насимчонович</v>
      </c>
      <c r="H25" s="2" t="s">
        <v>106</v>
      </c>
      <c r="I25" s="7" t="str">
        <f>VLOOKUP(H25,Справочник!$H$2:$I$164,2,FALSE)</f>
        <v>АЧР</v>
      </c>
    </row>
    <row r="26" spans="1:9" ht="19.95" customHeight="1" x14ac:dyDescent="0.3">
      <c r="A26" s="5">
        <v>25</v>
      </c>
      <c r="B26" s="5" t="s">
        <v>18</v>
      </c>
      <c r="C26" s="5" t="str">
        <f>VLOOKUP(B26,Справочник!$A$2:$B$23,2,FALSE)</f>
        <v>Департамент Дистрибуции</v>
      </c>
      <c r="D26" s="5" t="s">
        <v>20</v>
      </c>
      <c r="E26" s="5" t="str">
        <f>VLOOKUP(D26,Справочник!$D$2:$E$119,2,FALSE)</f>
        <v>Хасанов Фарход Сулаймонович</v>
      </c>
      <c r="F26" s="2" t="s">
        <v>21</v>
      </c>
      <c r="G26" s="5" t="str">
        <f>VLOOKUP(F26,Справочник!$D$2:$E$119,2,FALSE)</f>
        <v>Кодиров Камолчон Насимчонович</v>
      </c>
      <c r="H26" s="2" t="s">
        <v>107</v>
      </c>
      <c r="I26" s="5" t="str">
        <f>VLOOKUP(H26,Справочник!$H$2:$I$164,2,FALSE)</f>
        <v>Барс</v>
      </c>
    </row>
    <row r="27" spans="1:9" ht="19.95" customHeight="1" x14ac:dyDescent="0.3">
      <c r="A27" s="6">
        <v>26</v>
      </c>
      <c r="B27" s="5" t="s">
        <v>18</v>
      </c>
      <c r="C27" s="5" t="str">
        <f>VLOOKUP(B27,Справочник!$A$2:$B$23,2,FALSE)</f>
        <v>Департамент Дистрибуции</v>
      </c>
      <c r="D27" s="5" t="s">
        <v>20</v>
      </c>
      <c r="E27" s="5" t="str">
        <f>VLOOKUP(D27,Справочник!$D$2:$E$119,2,FALSE)</f>
        <v>Хасанов Фарход Сулаймонович</v>
      </c>
      <c r="F27" s="2" t="s">
        <v>21</v>
      </c>
      <c r="G27" s="7" t="str">
        <f>VLOOKUP(F27,Справочник!$D$2:$E$119,2,FALSE)</f>
        <v>Кодиров Камолчон Насимчонович</v>
      </c>
      <c r="H27" s="2" t="s">
        <v>108</v>
      </c>
      <c r="I27" s="7" t="str">
        <f>VLOOKUP(H27,Справочник!$H$2:$I$164,2,FALSE)</f>
        <v>Зирвеко</v>
      </c>
    </row>
    <row r="28" spans="1:9" ht="19.95" customHeight="1" x14ac:dyDescent="0.3">
      <c r="A28" s="5">
        <v>27</v>
      </c>
      <c r="B28" s="5" t="s">
        <v>18</v>
      </c>
      <c r="C28" s="5" t="str">
        <f>VLOOKUP(B28,Справочник!$A$2:$B$23,2,FALSE)</f>
        <v>Департамент Дистрибуции</v>
      </c>
      <c r="D28" s="5" t="s">
        <v>20</v>
      </c>
      <c r="E28" s="5" t="str">
        <f>VLOOKUP(D28,Справочник!$D$2:$E$119,2,FALSE)</f>
        <v>Хасанов Фарход Сулаймонович</v>
      </c>
      <c r="F28" s="2" t="s">
        <v>21</v>
      </c>
      <c r="G28" s="5" t="str">
        <f>VLOOKUP(F28,Справочник!$D$2:$E$119,2,FALSE)</f>
        <v>Кодиров Камолчон Насимчонович</v>
      </c>
      <c r="H28" s="2" t="s">
        <v>109</v>
      </c>
      <c r="I28" s="5" t="str">
        <f>VLOOKUP(H28,Справочник!$H$2:$I$164,2,FALSE)</f>
        <v>Зухал</v>
      </c>
    </row>
    <row r="29" spans="1:9" ht="19.95" customHeight="1" x14ac:dyDescent="0.3">
      <c r="A29" s="6">
        <v>28</v>
      </c>
      <c r="B29" s="5" t="s">
        <v>18</v>
      </c>
      <c r="C29" s="5" t="str">
        <f>VLOOKUP(B29,Справочник!$A$2:$B$23,2,FALSE)</f>
        <v>Департамент Дистрибуции</v>
      </c>
      <c r="D29" s="5" t="s">
        <v>20</v>
      </c>
      <c r="E29" s="5" t="str">
        <f>VLOOKUP(D29,Справочник!$D$2:$E$119,2,FALSE)</f>
        <v>Хасанов Фарход Сулаймонович</v>
      </c>
      <c r="F29" s="2" t="s">
        <v>21</v>
      </c>
      <c r="G29" s="7" t="str">
        <f>VLOOKUP(F29,Справочник!$D$2:$E$119,2,FALSE)</f>
        <v>Кодиров Камолчон Насимчонович</v>
      </c>
      <c r="H29" s="2" t="s">
        <v>110</v>
      </c>
      <c r="I29" s="7" t="str">
        <f>VLOOKUP(H29,Справочник!$H$2:$I$164,2,FALSE)</f>
        <v>Мусаффо</v>
      </c>
    </row>
    <row r="30" spans="1:9" ht="19.95" customHeight="1" x14ac:dyDescent="0.3">
      <c r="A30" s="5">
        <v>29</v>
      </c>
      <c r="B30" s="5" t="s">
        <v>18</v>
      </c>
      <c r="C30" s="5" t="str">
        <f>VLOOKUP(B30,Справочник!$A$2:$B$23,2,FALSE)</f>
        <v>Департамент Дистрибуции</v>
      </c>
      <c r="D30" s="5" t="s">
        <v>20</v>
      </c>
      <c r="E30" s="5" t="str">
        <f>VLOOKUP(D30,Справочник!$D$2:$E$119,2,FALSE)</f>
        <v>Хасанов Фарход Сулаймонович</v>
      </c>
      <c r="F30" s="2" t="s">
        <v>21</v>
      </c>
      <c r="G30" s="5" t="str">
        <f>VLOOKUP(F30,Справочник!$D$2:$E$119,2,FALSE)</f>
        <v>Кодиров Камолчон Насимчонович</v>
      </c>
      <c r="H30" s="2" t="s">
        <v>111</v>
      </c>
      <c r="I30" s="5" t="str">
        <f>VLOOKUP(H30,Справочник!$H$2:$I$164,2,FALSE)</f>
        <v>Сахо</v>
      </c>
    </row>
    <row r="31" spans="1:9" ht="19.95" customHeight="1" x14ac:dyDescent="0.3">
      <c r="A31" s="6">
        <v>30</v>
      </c>
      <c r="B31" s="5" t="s">
        <v>18</v>
      </c>
      <c r="C31" s="5" t="str">
        <f>VLOOKUP(B31,Справочник!$A$2:$B$23,2,FALSE)</f>
        <v>Департамент Дистрибуции</v>
      </c>
      <c r="D31" s="5" t="s">
        <v>20</v>
      </c>
      <c r="E31" s="5" t="str">
        <f>VLOOKUP(D31,Справочник!$D$2:$E$119,2,FALSE)</f>
        <v>Хасанов Фарход Сулаймонович</v>
      </c>
      <c r="F31" s="2" t="s">
        <v>21</v>
      </c>
      <c r="G31" s="7" t="str">
        <f>VLOOKUP(F31,Справочник!$D$2:$E$119,2,FALSE)</f>
        <v>Кодиров Камолчон Насимчонович</v>
      </c>
      <c r="H31" s="2" t="s">
        <v>112</v>
      </c>
      <c r="I31" s="7" t="str">
        <f>VLOOKUP(H31,Справочник!$H$2:$I$164,2,FALSE)</f>
        <v>Таджеро</v>
      </c>
    </row>
    <row r="32" spans="1:9" ht="19.95" customHeight="1" x14ac:dyDescent="0.3">
      <c r="A32" s="5">
        <v>31</v>
      </c>
      <c r="B32" s="5" t="s">
        <v>18</v>
      </c>
      <c r="C32" s="5" t="str">
        <f>VLOOKUP(B32,Справочник!$A$2:$B$23,2,FALSE)</f>
        <v>Департамент Дистрибуции</v>
      </c>
      <c r="D32" s="5" t="s">
        <v>20</v>
      </c>
      <c r="E32" s="5" t="str">
        <f>VLOOKUP(D32,Справочник!$D$2:$E$119,2,FALSE)</f>
        <v>Хасанов Фарход Сулаймонович</v>
      </c>
      <c r="F32" s="2" t="s">
        <v>21</v>
      </c>
      <c r="G32" s="5" t="str">
        <f>VLOOKUP(F32,Справочник!$D$2:$E$119,2,FALSE)</f>
        <v>Кодиров Камолчон Насимчонович</v>
      </c>
      <c r="H32" s="2" t="s">
        <v>113</v>
      </c>
      <c r="I32" s="5" t="str">
        <f>VLOOKUP(H32,Справочник!$H$2:$I$164,2,FALSE)</f>
        <v>Хочи Давлат</v>
      </c>
    </row>
    <row r="33" spans="1:9" ht="19.95" customHeight="1" x14ac:dyDescent="0.3">
      <c r="A33" s="6">
        <v>32</v>
      </c>
      <c r="B33" s="5" t="s">
        <v>18</v>
      </c>
      <c r="C33" s="5" t="str">
        <f>VLOOKUP(B33,Справочник!$A$2:$B$23,2,FALSE)</f>
        <v>Департамент Дистрибуции</v>
      </c>
      <c r="D33" s="5" t="s">
        <v>20</v>
      </c>
      <c r="E33" s="5" t="str">
        <f>VLOOKUP(D33,Справочник!$D$2:$E$119,2,FALSE)</f>
        <v>Хасанов Фарход Сулаймонович</v>
      </c>
      <c r="F33" s="2" t="s">
        <v>21</v>
      </c>
      <c r="G33" s="7" t="str">
        <f>VLOOKUP(F33,Справочник!$D$2:$E$119,2,FALSE)</f>
        <v>Кодиров Камолчон Насимчонович</v>
      </c>
      <c r="H33" s="2" t="s">
        <v>114</v>
      </c>
      <c r="I33" s="7" t="str">
        <f>VLOOKUP(H33,Справочник!$H$2:$I$164,2,FALSE)</f>
        <v>Хочи Даврон</v>
      </c>
    </row>
    <row r="34" spans="1:9" ht="19.95" customHeight="1" x14ac:dyDescent="0.3">
      <c r="A34" s="5">
        <v>33</v>
      </c>
      <c r="B34" s="5" t="s">
        <v>22</v>
      </c>
      <c r="C34" s="5" t="str">
        <f>VLOOKUP(B34,Справочник!$A$2:$B$23,2,FALSE)</f>
        <v>Департамент логистики и ГП</v>
      </c>
      <c r="D34" s="5" t="s">
        <v>24</v>
      </c>
      <c r="E34" s="5" t="str">
        <f>VLOOKUP(D34,Справочник!$D$2:$E$119,2,FALSE)</f>
        <v>Пономарев Олег Александрович</v>
      </c>
      <c r="F34" s="2" t="s">
        <v>13</v>
      </c>
      <c r="G34" s="5" t="str">
        <f>VLOOKUP(F34,Справочник!$D$2:$E$119,2,FALSE)</f>
        <v>Зокирова Зебочон Абдуазимовна</v>
      </c>
      <c r="H34" s="2" t="s">
        <v>115</v>
      </c>
      <c r="I34" s="5" t="str">
        <f>VLOOKUP(H34,Справочник!$H$2:$I$164,2,FALSE)</f>
        <v>Ачр (ГП)</v>
      </c>
    </row>
    <row r="35" spans="1:9" ht="19.95" customHeight="1" x14ac:dyDescent="0.3">
      <c r="A35" s="6">
        <v>34</v>
      </c>
      <c r="B35" s="5" t="s">
        <v>22</v>
      </c>
      <c r="C35" s="5" t="str">
        <f>VLOOKUP(B35,Справочник!$A$2:$B$23,2,FALSE)</f>
        <v>Департамент логистики и ГП</v>
      </c>
      <c r="D35" s="5" t="s">
        <v>24</v>
      </c>
      <c r="E35" s="5" t="str">
        <f>VLOOKUP(D35,Справочник!$D$2:$E$119,2,FALSE)</f>
        <v>Пономарев Олег Александрович</v>
      </c>
      <c r="F35" s="2" t="s">
        <v>13</v>
      </c>
      <c r="G35" s="7" t="str">
        <f>VLOOKUP(F35,Справочник!$D$2:$E$119,2,FALSE)</f>
        <v>Зокирова Зебочон Абдуазимовна</v>
      </c>
      <c r="H35" s="2" t="s">
        <v>116</v>
      </c>
      <c r="I35" s="7" t="str">
        <f>VLOOKUP(H35,Справочник!$H$2:$I$164,2,FALSE)</f>
        <v>Буона (ГП)</v>
      </c>
    </row>
    <row r="36" spans="1:9" ht="19.95" customHeight="1" x14ac:dyDescent="0.3">
      <c r="A36" s="5">
        <v>35</v>
      </c>
      <c r="B36" s="5" t="s">
        <v>22</v>
      </c>
      <c r="C36" s="5" t="str">
        <f>VLOOKUP(B36,Справочник!$A$2:$B$23,2,FALSE)</f>
        <v>Департамент логистики и ГП</v>
      </c>
      <c r="D36" s="5" t="s">
        <v>24</v>
      </c>
      <c r="E36" s="5" t="str">
        <f>VLOOKUP(D36,Справочник!$D$2:$E$119,2,FALSE)</f>
        <v>Пономарев Олег Александрович</v>
      </c>
      <c r="F36" s="2" t="s">
        <v>13</v>
      </c>
      <c r="G36" s="5" t="str">
        <f>VLOOKUP(F36,Справочник!$D$2:$E$119,2,FALSE)</f>
        <v>Зокирова Зебочон Абдуазимовна</v>
      </c>
      <c r="H36" s="2" t="s">
        <v>117</v>
      </c>
      <c r="I36" s="5" t="str">
        <f>VLOOKUP(H36,Справочник!$H$2:$I$164,2,FALSE)</f>
        <v>Душанбе (ГП)</v>
      </c>
    </row>
    <row r="37" spans="1:9" ht="19.95" customHeight="1" x14ac:dyDescent="0.3">
      <c r="A37" s="6">
        <v>36</v>
      </c>
      <c r="B37" s="5" t="s">
        <v>22</v>
      </c>
      <c r="C37" s="5" t="str">
        <f>VLOOKUP(B37,Справочник!$A$2:$B$23,2,FALSE)</f>
        <v>Департамент логистики и ГП</v>
      </c>
      <c r="D37" s="5" t="s">
        <v>24</v>
      </c>
      <c r="E37" s="5" t="str">
        <f>VLOOKUP(D37,Справочник!$D$2:$E$119,2,FALSE)</f>
        <v>Пономарев Олег Александрович</v>
      </c>
      <c r="F37" s="2" t="s">
        <v>13</v>
      </c>
      <c r="G37" s="7" t="str">
        <f>VLOOKUP(F37,Справочник!$D$2:$E$119,2,FALSE)</f>
        <v>Зокирова Зебочон Абдуазимовна</v>
      </c>
      <c r="H37" s="2" t="s">
        <v>118</v>
      </c>
      <c r="I37" s="7" t="str">
        <f>VLOOKUP(H37,Справочник!$H$2:$I$164,2,FALSE)</f>
        <v>Фатир (ГП)</v>
      </c>
    </row>
    <row r="38" spans="1:9" ht="34.049999999999997" customHeight="1" x14ac:dyDescent="0.3">
      <c r="A38" s="5">
        <v>37</v>
      </c>
      <c r="B38" s="5" t="s">
        <v>25</v>
      </c>
      <c r="C38" s="5" t="str">
        <f>VLOOKUP(B38,Справочник!$A$2:$B$23,2,FALSE)</f>
        <v>Департамент по работе с государственными органами</v>
      </c>
      <c r="D38" s="5" t="s">
        <v>27</v>
      </c>
      <c r="E38" s="5" t="str">
        <f>VLOOKUP(D38,Справочник!$D$2:$E$119,2,FALSE)</f>
        <v>Самандаров Исроилхоча Вохидхочаевич</v>
      </c>
      <c r="F38" s="2" t="s">
        <v>28</v>
      </c>
      <c r="G38" s="5" t="str">
        <f>VLOOKUP(F38,Справочник!$D$2:$E$119,2,FALSE)</f>
        <v>Солиев Умедчон Абдучалолович</v>
      </c>
      <c r="H38" s="2" t="s">
        <v>119</v>
      </c>
      <c r="I38" s="5" t="str">
        <f>VLOOKUP(H38,Справочник!$H$2:$I$164,2,FALSE)</f>
        <v>Амид</v>
      </c>
    </row>
    <row r="39" spans="1:9" ht="34.049999999999997" customHeight="1" x14ac:dyDescent="0.3">
      <c r="A39" s="6">
        <v>38</v>
      </c>
      <c r="B39" s="5" t="s">
        <v>25</v>
      </c>
      <c r="C39" s="5" t="str">
        <f>VLOOKUP(B39,Справочник!$A$2:$B$23,2,FALSE)</f>
        <v>Департамент по работе с государственными органами</v>
      </c>
      <c r="D39" s="5" t="s">
        <v>27</v>
      </c>
      <c r="E39" s="5" t="str">
        <f>VLOOKUP(D39,Справочник!$D$2:$E$119,2,FALSE)</f>
        <v>Самандаров Исроилхоча Вохидхочаевич</v>
      </c>
      <c r="F39" s="2" t="s">
        <v>28</v>
      </c>
      <c r="G39" s="7" t="str">
        <f>VLOOKUP(F39,Справочник!$D$2:$E$119,2,FALSE)</f>
        <v>Солиев Умедчон Абдучалолович</v>
      </c>
      <c r="H39" s="2" t="s">
        <v>120</v>
      </c>
      <c r="I39" s="7" t="str">
        <f>VLOOKUP(H39,Справочник!$H$2:$I$164,2,FALSE)</f>
        <v>Ачр</v>
      </c>
    </row>
    <row r="40" spans="1:9" ht="34.049999999999997" customHeight="1" x14ac:dyDescent="0.3">
      <c r="A40" s="5">
        <v>39</v>
      </c>
      <c r="B40" s="5" t="s">
        <v>25</v>
      </c>
      <c r="C40" s="5" t="str">
        <f>VLOOKUP(B40,Справочник!$A$2:$B$23,2,FALSE)</f>
        <v>Департамент по работе с государственными органами</v>
      </c>
      <c r="D40" s="5" t="s">
        <v>27</v>
      </c>
      <c r="E40" s="5" t="str">
        <f>VLOOKUP(D40,Справочник!$D$2:$E$119,2,FALSE)</f>
        <v>Самандаров Исроилхоча Вохидхочаевич</v>
      </c>
      <c r="F40" s="2" t="s">
        <v>28</v>
      </c>
      <c r="G40" s="5" t="str">
        <f>VLOOKUP(F40,Справочник!$D$2:$E$119,2,FALSE)</f>
        <v>Солиев Умедчон Абдучалолович</v>
      </c>
      <c r="H40" s="2" t="s">
        <v>121</v>
      </c>
      <c r="I40" s="5" t="str">
        <f>VLOOKUP(H40,Справочник!$H$2:$I$164,2,FALSE)</f>
        <v>Буона</v>
      </c>
    </row>
    <row r="41" spans="1:9" ht="34.049999999999997" customHeight="1" x14ac:dyDescent="0.3">
      <c r="A41" s="6">
        <v>40</v>
      </c>
      <c r="B41" s="5" t="s">
        <v>25</v>
      </c>
      <c r="C41" s="5" t="str">
        <f>VLOOKUP(B41,Справочник!$A$2:$B$23,2,FALSE)</f>
        <v>Департамент по работе с государственными органами</v>
      </c>
      <c r="D41" s="5" t="s">
        <v>27</v>
      </c>
      <c r="E41" s="5" t="str">
        <f>VLOOKUP(D41,Справочник!$D$2:$E$119,2,FALSE)</f>
        <v>Самандаров Исроилхоча Вохидхочаевич</v>
      </c>
      <c r="F41" s="2" t="s">
        <v>28</v>
      </c>
      <c r="G41" s="7" t="str">
        <f>VLOOKUP(F41,Справочник!$D$2:$E$119,2,FALSE)</f>
        <v>Солиев Умедчон Абдучалолович</v>
      </c>
      <c r="H41" s="2" t="s">
        <v>90</v>
      </c>
      <c r="I41" s="7" t="str">
        <f>VLOOKUP(H41,Справочник!$H$2:$I$164,2,FALSE)</f>
        <v>Далерон</v>
      </c>
    </row>
    <row r="42" spans="1:9" ht="34.049999999999997" customHeight="1" x14ac:dyDescent="0.3">
      <c r="A42" s="5">
        <v>41</v>
      </c>
      <c r="B42" s="5" t="s">
        <v>25</v>
      </c>
      <c r="C42" s="5" t="str">
        <f>VLOOKUP(B42,Справочник!$A$2:$B$23,2,FALSE)</f>
        <v>Департамент по работе с государственными органами</v>
      </c>
      <c r="D42" s="5" t="s">
        <v>27</v>
      </c>
      <c r="E42" s="5" t="str">
        <f>VLOOKUP(D42,Справочник!$D$2:$E$119,2,FALSE)</f>
        <v>Самандаров Исроилхоча Вохидхочаевич</v>
      </c>
      <c r="F42" s="2" t="s">
        <v>28</v>
      </c>
      <c r="G42" s="5" t="str">
        <f>VLOOKUP(F42,Справочник!$D$2:$E$119,2,FALSE)</f>
        <v>Солиев Умедчон Абдучалолович</v>
      </c>
      <c r="H42" s="2" t="s">
        <v>122</v>
      </c>
      <c r="I42" s="5" t="str">
        <f>VLOOKUP(H42,Справочник!$H$2:$I$164,2,FALSE)</f>
        <v>Муосир пласт</v>
      </c>
    </row>
    <row r="43" spans="1:9" ht="34.049999999999997" customHeight="1" x14ac:dyDescent="0.3">
      <c r="A43" s="6">
        <v>42</v>
      </c>
      <c r="B43" s="5" t="s">
        <v>25</v>
      </c>
      <c r="C43" s="5" t="str">
        <f>VLOOKUP(B43,Справочник!$A$2:$B$23,2,FALSE)</f>
        <v>Департамент по работе с государственными органами</v>
      </c>
      <c r="D43" s="5" t="s">
        <v>27</v>
      </c>
      <c r="E43" s="5" t="str">
        <f>VLOOKUP(D43,Справочник!$D$2:$E$119,2,FALSE)</f>
        <v>Самандаров Исроилхоча Вохидхочаевич</v>
      </c>
      <c r="F43" s="2" t="s">
        <v>28</v>
      </c>
      <c r="G43" s="7" t="str">
        <f>VLOOKUP(F43,Справочник!$D$2:$E$119,2,FALSE)</f>
        <v>Солиев Умедчон Абдучалолович</v>
      </c>
      <c r="H43" s="2" t="s">
        <v>123</v>
      </c>
      <c r="I43" s="7" t="str">
        <f>VLOOKUP(H43,Справочник!$H$2:$I$164,2,FALSE)</f>
        <v>Орди Фатир</v>
      </c>
    </row>
    <row r="44" spans="1:9" ht="34.049999999999997" customHeight="1" x14ac:dyDescent="0.3">
      <c r="A44" s="5">
        <v>43</v>
      </c>
      <c r="B44" s="5" t="s">
        <v>25</v>
      </c>
      <c r="C44" s="5" t="str">
        <f>VLOOKUP(B44,Справочник!$A$2:$B$23,2,FALSE)</f>
        <v>Департамент по работе с государственными органами</v>
      </c>
      <c r="D44" s="5" t="s">
        <v>27</v>
      </c>
      <c r="E44" s="5" t="str">
        <f>VLOOKUP(D44,Справочник!$D$2:$E$119,2,FALSE)</f>
        <v>Самандаров Исроилхоча Вохидхочаевич</v>
      </c>
      <c r="F44" s="2" t="s">
        <v>28</v>
      </c>
      <c r="G44" s="5" t="str">
        <f>VLOOKUP(F44,Справочник!$D$2:$E$119,2,FALSE)</f>
        <v>Солиев Умедчон Абдучалолович</v>
      </c>
      <c r="H44" s="2" t="s">
        <v>124</v>
      </c>
      <c r="I44" s="5" t="str">
        <f>VLOOKUP(H44,Справочник!$H$2:$I$164,2,FALSE)</f>
        <v>Чучаи Байзо</v>
      </c>
    </row>
    <row r="45" spans="1:9" ht="34.049999999999997" customHeight="1" x14ac:dyDescent="0.3">
      <c r="A45" s="6">
        <v>44</v>
      </c>
      <c r="B45" s="5" t="s">
        <v>25</v>
      </c>
      <c r="C45" s="5" t="str">
        <f>VLOOKUP(B45,Справочник!$A$2:$B$23,2,FALSE)</f>
        <v>Департамент по работе с государственными органами</v>
      </c>
      <c r="D45" s="5" t="s">
        <v>27</v>
      </c>
      <c r="E45" s="5" t="str">
        <f>VLOOKUP(D45,Справочник!$D$2:$E$119,2,FALSE)</f>
        <v>Самандаров Исроилхоча Вохидхочаевич</v>
      </c>
      <c r="F45" s="2" t="s">
        <v>28</v>
      </c>
      <c r="G45" s="7" t="str">
        <f>VLOOKUP(F45,Справочник!$D$2:$E$119,2,FALSE)</f>
        <v>Солиев Умедчон Абдучалолович</v>
      </c>
      <c r="H45" s="2" t="s">
        <v>125</v>
      </c>
      <c r="I45" s="7" t="str">
        <f>VLOOKUP(H45,Справочник!$H$2:$I$164,2,FALSE)</f>
        <v>Grass</v>
      </c>
    </row>
    <row r="46" spans="1:9" ht="34.049999999999997" customHeight="1" x14ac:dyDescent="0.3">
      <c r="A46" s="5">
        <v>45</v>
      </c>
      <c r="B46" s="5" t="s">
        <v>25</v>
      </c>
      <c r="C46" s="5" t="str">
        <f>VLOOKUP(B46,Справочник!$A$2:$B$23,2,FALSE)</f>
        <v>Департамент по работе с государственными органами</v>
      </c>
      <c r="D46" s="5" t="s">
        <v>27</v>
      </c>
      <c r="E46" s="5" t="str">
        <f>VLOOKUP(D46,Справочник!$D$2:$E$119,2,FALSE)</f>
        <v>Самандаров Исроилхоча Вохидхочаевич</v>
      </c>
      <c r="F46" s="2" t="s">
        <v>28</v>
      </c>
      <c r="G46" s="5" t="str">
        <f>VLOOKUP(F46,Справочник!$D$2:$E$119,2,FALSE)</f>
        <v>Солиев Умедчон Абдучалолович</v>
      </c>
      <c r="H46" s="2" t="s">
        <v>126</v>
      </c>
      <c r="I46" s="5" t="str">
        <f>VLOOKUP(H46,Справочник!$H$2:$I$164,2,FALSE)</f>
        <v>Lega</v>
      </c>
    </row>
    <row r="47" spans="1:9" ht="34.049999999999997" customHeight="1" x14ac:dyDescent="0.3">
      <c r="A47" s="6">
        <v>46</v>
      </c>
      <c r="B47" s="5" t="s">
        <v>25</v>
      </c>
      <c r="C47" s="5" t="str">
        <f>VLOOKUP(B47,Справочник!$A$2:$B$23,2,FALSE)</f>
        <v>Департамент по работе с государственными органами</v>
      </c>
      <c r="D47" s="5" t="s">
        <v>27</v>
      </c>
      <c r="E47" s="5" t="str">
        <f>VLOOKUP(D47,Справочник!$D$2:$E$119,2,FALSE)</f>
        <v>Самандаров Исроилхоча Вохидхочаевич</v>
      </c>
      <c r="F47" s="2" t="s">
        <v>28</v>
      </c>
      <c r="G47" s="7" t="str">
        <f>VLOOKUP(F47,Справочник!$D$2:$E$119,2,FALSE)</f>
        <v>Солиев Умедчон Абдучалолович</v>
      </c>
      <c r="H47" s="2" t="s">
        <v>127</v>
      </c>
      <c r="I47" s="7" t="str">
        <f>VLOOKUP(H47,Справочник!$H$2:$I$164,2,FALSE)</f>
        <v>Silcoat</v>
      </c>
    </row>
    <row r="48" spans="1:9" ht="19.95" customHeight="1" x14ac:dyDescent="0.3">
      <c r="A48" s="5">
        <v>47</v>
      </c>
      <c r="B48" s="5" t="s">
        <v>29</v>
      </c>
      <c r="C48" s="5" t="str">
        <f>VLOOKUP(B48,Справочник!$A$2:$B$23,2,FALSE)</f>
        <v>Департамент продажи муки (Опт)</v>
      </c>
      <c r="D48" s="5" t="s">
        <v>31</v>
      </c>
      <c r="E48" s="5" t="str">
        <f>VLOOKUP(D48,Справочник!$D$2:$E$119,2,FALSE)</f>
        <v>Урунов Акмалхуча Абдуллоевич</v>
      </c>
      <c r="F48" s="2" t="s">
        <v>21</v>
      </c>
      <c r="G48" s="5" t="str">
        <f>VLOOKUP(F48,Справочник!$D$2:$E$119,2,FALSE)</f>
        <v>Кодиров Камолчон Насимчонович</v>
      </c>
      <c r="H48" s="2" t="s">
        <v>128</v>
      </c>
      <c r="I48" s="5" t="str">
        <f>VLOOKUP(H48,Справочник!$H$2:$I$164,2,FALSE)</f>
        <v>ҶДММ "Азамат Агро"</v>
      </c>
    </row>
    <row r="49" spans="1:9" ht="19.95" customHeight="1" x14ac:dyDescent="0.3">
      <c r="A49" s="6">
        <v>48</v>
      </c>
      <c r="B49" s="5" t="s">
        <v>29</v>
      </c>
      <c r="C49" s="5" t="str">
        <f>VLOOKUP(B49,Справочник!$A$2:$B$23,2,FALSE)</f>
        <v>Департамент продажи муки (Опт)</v>
      </c>
      <c r="D49" s="5" t="s">
        <v>31</v>
      </c>
      <c r="E49" s="5" t="str">
        <f>VLOOKUP(D49,Справочник!$D$2:$E$119,2,FALSE)</f>
        <v>Урунов Акмалхуча Абдуллоевич</v>
      </c>
      <c r="F49" s="2" t="s">
        <v>21</v>
      </c>
      <c r="G49" s="7" t="str">
        <f>VLOOKUP(F49,Справочник!$D$2:$E$119,2,FALSE)</f>
        <v>Кодиров Камолчон Насимчонович</v>
      </c>
      <c r="H49" s="2" t="s">
        <v>129</v>
      </c>
      <c r="I49" s="7" t="str">
        <f>VLOOKUP(H49,Справочник!$H$2:$I$164,2,FALSE)</f>
        <v>ҶДММ "Азимов А."</v>
      </c>
    </row>
    <row r="50" spans="1:9" ht="19.95" customHeight="1" x14ac:dyDescent="0.3">
      <c r="A50" s="5">
        <v>49</v>
      </c>
      <c r="B50" s="5" t="s">
        <v>29</v>
      </c>
      <c r="C50" s="5" t="str">
        <f>VLOOKUP(B50,Справочник!$A$2:$B$23,2,FALSE)</f>
        <v>Департамент продажи муки (Опт)</v>
      </c>
      <c r="D50" s="5" t="s">
        <v>31</v>
      </c>
      <c r="E50" s="5" t="str">
        <f>VLOOKUP(D50,Справочник!$D$2:$E$119,2,FALSE)</f>
        <v>Урунов Акмалхуча Абдуллоевич</v>
      </c>
      <c r="F50" s="2" t="s">
        <v>21</v>
      </c>
      <c r="G50" s="5" t="str">
        <f>VLOOKUP(F50,Справочник!$D$2:$E$119,2,FALSE)</f>
        <v>Кодиров Камолчон Насимчонович</v>
      </c>
      <c r="H50" s="2" t="s">
        <v>130</v>
      </c>
      <c r="I50" s="5" t="str">
        <f>VLOOKUP(H50,Справочник!$H$2:$I$164,2,FALSE)</f>
        <v>ҶДММ "Аркоим"</v>
      </c>
    </row>
    <row r="51" spans="1:9" ht="19.95" customHeight="1" x14ac:dyDescent="0.3">
      <c r="A51" s="6">
        <v>50</v>
      </c>
      <c r="B51" s="5" t="s">
        <v>29</v>
      </c>
      <c r="C51" s="5" t="str">
        <f>VLOOKUP(B51,Справочник!$A$2:$B$23,2,FALSE)</f>
        <v>Департамент продажи муки (Опт)</v>
      </c>
      <c r="D51" s="5" t="s">
        <v>31</v>
      </c>
      <c r="E51" s="5" t="str">
        <f>VLOOKUP(D51,Справочник!$D$2:$E$119,2,FALSE)</f>
        <v>Урунов Акмалхуча Абдуллоевич</v>
      </c>
      <c r="F51" s="2" t="s">
        <v>21</v>
      </c>
      <c r="G51" s="7" t="str">
        <f>VLOOKUP(F51,Справочник!$D$2:$E$119,2,FALSE)</f>
        <v>Кодиров Камолчон Насимчонович</v>
      </c>
      <c r="H51" s="2" t="s">
        <v>131</v>
      </c>
      <c r="I51" s="7" t="str">
        <f>VLOOKUP(H51,Справочник!$H$2:$I$164,2,FALSE)</f>
        <v>ҶДММ "Асали 1"</v>
      </c>
    </row>
    <row r="52" spans="1:9" ht="19.95" customHeight="1" x14ac:dyDescent="0.3">
      <c r="A52" s="5">
        <v>51</v>
      </c>
      <c r="B52" s="5" t="s">
        <v>29</v>
      </c>
      <c r="C52" s="5" t="str">
        <f>VLOOKUP(B52,Справочник!$A$2:$B$23,2,FALSE)</f>
        <v>Департамент продажи муки (Опт)</v>
      </c>
      <c r="D52" s="5" t="s">
        <v>31</v>
      </c>
      <c r="E52" s="5" t="str">
        <f>VLOOKUP(D52,Справочник!$D$2:$E$119,2,FALSE)</f>
        <v>Урунов Акмалхуча Абдуллоевич</v>
      </c>
      <c r="F52" s="2" t="s">
        <v>21</v>
      </c>
      <c r="G52" s="5" t="str">
        <f>VLOOKUP(F52,Справочник!$D$2:$E$119,2,FALSE)</f>
        <v>Кодиров Камолчон Насимчонович</v>
      </c>
      <c r="H52" s="2" t="s">
        <v>132</v>
      </c>
      <c r="I52" s="5" t="str">
        <f>VLOOKUP(H52,Справочник!$H$2:$I$164,2,FALSE)</f>
        <v>ҶДММ "Астана"</v>
      </c>
    </row>
    <row r="53" spans="1:9" ht="19.95" customHeight="1" x14ac:dyDescent="0.3">
      <c r="A53" s="6">
        <v>52</v>
      </c>
      <c r="B53" s="5" t="s">
        <v>29</v>
      </c>
      <c r="C53" s="5" t="str">
        <f>VLOOKUP(B53,Справочник!$A$2:$B$23,2,FALSE)</f>
        <v>Департамент продажи муки (Опт)</v>
      </c>
      <c r="D53" s="5" t="s">
        <v>31</v>
      </c>
      <c r="E53" s="5" t="str">
        <f>VLOOKUP(D53,Справочник!$D$2:$E$119,2,FALSE)</f>
        <v>Урунов Акмалхуча Абдуллоевич</v>
      </c>
      <c r="F53" s="2" t="s">
        <v>21</v>
      </c>
      <c r="G53" s="7" t="str">
        <f>VLOOKUP(F53,Справочник!$D$2:$E$119,2,FALSE)</f>
        <v>Кодиров Камолчон Насимчонович</v>
      </c>
      <c r="H53" s="2" t="s">
        <v>133</v>
      </c>
      <c r="I53" s="7" t="str">
        <f>VLOOKUP(H53,Справочник!$H$2:$I$164,2,FALSE)</f>
        <v>ҶДММ "АҶР"</v>
      </c>
    </row>
    <row r="54" spans="1:9" ht="19.95" customHeight="1" x14ac:dyDescent="0.3">
      <c r="A54" s="5">
        <v>53</v>
      </c>
      <c r="B54" s="5" t="s">
        <v>29</v>
      </c>
      <c r="C54" s="5" t="str">
        <f>VLOOKUP(B54,Справочник!$A$2:$B$23,2,FALSE)</f>
        <v>Департамент продажи муки (Опт)</v>
      </c>
      <c r="D54" s="5" t="s">
        <v>31</v>
      </c>
      <c r="E54" s="5" t="str">
        <f>VLOOKUP(D54,Справочник!$D$2:$E$119,2,FALSE)</f>
        <v>Урунов Акмалхуча Абдуллоевич</v>
      </c>
      <c r="F54" s="2" t="s">
        <v>21</v>
      </c>
      <c r="G54" s="5" t="str">
        <f>VLOOKUP(F54,Справочник!$D$2:$E$119,2,FALSE)</f>
        <v>Кодиров Камолчон Насимчонович</v>
      </c>
      <c r="H54" s="2" t="s">
        <v>134</v>
      </c>
      <c r="I54" s="5" t="str">
        <f>VLOOKUP(H54,Справочник!$H$2:$I$164,2,FALSE)</f>
        <v>ҶДММ "Гафури Суғд"</v>
      </c>
    </row>
    <row r="55" spans="1:9" ht="19.95" customHeight="1" x14ac:dyDescent="0.3">
      <c r="A55" s="6">
        <v>54</v>
      </c>
      <c r="B55" s="5" t="s">
        <v>29</v>
      </c>
      <c r="C55" s="5" t="str">
        <f>VLOOKUP(B55,Справочник!$A$2:$B$23,2,FALSE)</f>
        <v>Департамент продажи муки (Опт)</v>
      </c>
      <c r="D55" s="5" t="s">
        <v>31</v>
      </c>
      <c r="E55" s="5" t="str">
        <f>VLOOKUP(D55,Справочник!$D$2:$E$119,2,FALSE)</f>
        <v>Урунов Акмалхуча Абдуллоевич</v>
      </c>
      <c r="F55" s="2" t="s">
        <v>21</v>
      </c>
      <c r="G55" s="7" t="str">
        <f>VLOOKUP(F55,Справочник!$D$2:$E$119,2,FALSE)</f>
        <v>Кодиров Камолчон Насимчонович</v>
      </c>
      <c r="H55" s="2" t="s">
        <v>135</v>
      </c>
      <c r="I55" s="7" t="str">
        <f>VLOOKUP(H55,Справочник!$H$2:$I$164,2,FALSE)</f>
        <v>ҶДММ "Зерновая компания"</v>
      </c>
    </row>
    <row r="56" spans="1:9" ht="19.95" customHeight="1" x14ac:dyDescent="0.3">
      <c r="A56" s="5">
        <v>55</v>
      </c>
      <c r="B56" s="5" t="s">
        <v>29</v>
      </c>
      <c r="C56" s="5" t="str">
        <f>VLOOKUP(B56,Справочник!$A$2:$B$23,2,FALSE)</f>
        <v>Департамент продажи муки (Опт)</v>
      </c>
      <c r="D56" s="5" t="s">
        <v>31</v>
      </c>
      <c r="E56" s="5" t="str">
        <f>VLOOKUP(D56,Справочник!$D$2:$E$119,2,FALSE)</f>
        <v>Урунов Акмалхуча Абдуллоевич</v>
      </c>
      <c r="F56" s="2" t="s">
        <v>21</v>
      </c>
      <c r="G56" s="5" t="str">
        <f>VLOOKUP(F56,Справочник!$D$2:$E$119,2,FALSE)</f>
        <v>Кодиров Камолчон Насимчонович</v>
      </c>
      <c r="H56" s="2" t="s">
        <v>136</v>
      </c>
      <c r="I56" s="5" t="str">
        <f>VLOOKUP(H56,Справочник!$H$2:$I$164,2,FALSE)</f>
        <v>ҶДММ "Имкон Агро"</v>
      </c>
    </row>
    <row r="57" spans="1:9" ht="19.95" customHeight="1" x14ac:dyDescent="0.3">
      <c r="A57" s="6">
        <v>56</v>
      </c>
      <c r="B57" s="5" t="s">
        <v>29</v>
      </c>
      <c r="C57" s="5" t="str">
        <f>VLOOKUP(B57,Справочник!$A$2:$B$23,2,FALSE)</f>
        <v>Департамент продажи муки (Опт)</v>
      </c>
      <c r="D57" s="5" t="s">
        <v>31</v>
      </c>
      <c r="E57" s="5" t="str">
        <f>VLOOKUP(D57,Справочник!$D$2:$E$119,2,FALSE)</f>
        <v>Урунов Акмалхуча Абдуллоевич</v>
      </c>
      <c r="F57" s="2" t="s">
        <v>21</v>
      </c>
      <c r="G57" s="7" t="str">
        <f>VLOOKUP(F57,Справочник!$D$2:$E$119,2,FALSE)</f>
        <v>Кодиров Камолчон Насимчонович</v>
      </c>
      <c r="H57" s="2" t="s">
        <v>137</v>
      </c>
      <c r="I57" s="7" t="str">
        <f>VLOOKUP(H57,Справочник!$H$2:$I$164,2,FALSE)</f>
        <v>ҶДММ "Маҳсулотҳои Заррин"</v>
      </c>
    </row>
    <row r="58" spans="1:9" ht="19.95" customHeight="1" x14ac:dyDescent="0.3">
      <c r="A58" s="5">
        <v>57</v>
      </c>
      <c r="B58" s="5" t="s">
        <v>29</v>
      </c>
      <c r="C58" s="5" t="str">
        <f>VLOOKUP(B58,Справочник!$A$2:$B$23,2,FALSE)</f>
        <v>Департамент продажи муки (Опт)</v>
      </c>
      <c r="D58" s="5" t="s">
        <v>31</v>
      </c>
      <c r="E58" s="5" t="str">
        <f>VLOOKUP(D58,Справочник!$D$2:$E$119,2,FALSE)</f>
        <v>Урунов Акмалхуча Абдуллоевич</v>
      </c>
      <c r="F58" s="2" t="s">
        <v>21</v>
      </c>
      <c r="G58" s="5" t="str">
        <f>VLOOKUP(F58,Справочник!$D$2:$E$119,2,FALSE)</f>
        <v>Кодиров Камолчон Насимчонович</v>
      </c>
      <c r="H58" s="2" t="s">
        <v>138</v>
      </c>
      <c r="I58" s="5" t="str">
        <f>VLOOKUP(H58,Справочник!$H$2:$I$164,2,FALSE)</f>
        <v>ҶДММ "Олим Авезов"</v>
      </c>
    </row>
    <row r="59" spans="1:9" ht="19.95" customHeight="1" x14ac:dyDescent="0.3">
      <c r="A59" s="6">
        <v>58</v>
      </c>
      <c r="B59" s="5" t="s">
        <v>29</v>
      </c>
      <c r="C59" s="5" t="str">
        <f>VLOOKUP(B59,Справочник!$A$2:$B$23,2,FALSE)</f>
        <v>Департамент продажи муки (Опт)</v>
      </c>
      <c r="D59" s="5" t="s">
        <v>31</v>
      </c>
      <c r="E59" s="5" t="str">
        <f>VLOOKUP(D59,Справочник!$D$2:$E$119,2,FALSE)</f>
        <v>Урунов Акмалхуча Абдуллоевич</v>
      </c>
      <c r="F59" s="2" t="s">
        <v>21</v>
      </c>
      <c r="G59" s="7" t="str">
        <f>VLOOKUP(F59,Справочник!$D$2:$E$119,2,FALSE)</f>
        <v>Кодиров Камолчон Насимчонович</v>
      </c>
      <c r="H59" s="2" t="s">
        <v>139</v>
      </c>
      <c r="I59" s="7" t="str">
        <f>VLOOKUP(H59,Справочник!$H$2:$I$164,2,FALSE)</f>
        <v>ҶДММ "Орди кавсар"</v>
      </c>
    </row>
    <row r="60" spans="1:9" ht="19.95" customHeight="1" x14ac:dyDescent="0.3">
      <c r="A60" s="5">
        <v>59</v>
      </c>
      <c r="B60" s="5" t="s">
        <v>29</v>
      </c>
      <c r="C60" s="5" t="str">
        <f>VLOOKUP(B60,Справочник!$A$2:$B$23,2,FALSE)</f>
        <v>Департамент продажи муки (Опт)</v>
      </c>
      <c r="D60" s="5" t="s">
        <v>31</v>
      </c>
      <c r="E60" s="5" t="str">
        <f>VLOOKUP(D60,Справочник!$D$2:$E$119,2,FALSE)</f>
        <v>Урунов Акмалхуча Абдуллоевич</v>
      </c>
      <c r="F60" s="2" t="s">
        <v>21</v>
      </c>
      <c r="G60" s="5" t="str">
        <f>VLOOKUP(F60,Справочник!$D$2:$E$119,2,FALSE)</f>
        <v>Кодиров Камолчон Насимчонович</v>
      </c>
      <c r="H60" s="2" t="s">
        <v>84</v>
      </c>
      <c r="I60" s="5" t="str">
        <f>VLOOKUP(H60,Справочник!$H$2:$I$164,2,FALSE)</f>
        <v>ҶДММ "Орди Фатир"</v>
      </c>
    </row>
    <row r="61" spans="1:9" ht="19.95" customHeight="1" x14ac:dyDescent="0.3">
      <c r="A61" s="6">
        <v>60</v>
      </c>
      <c r="B61" s="5" t="s">
        <v>29</v>
      </c>
      <c r="C61" s="5" t="str">
        <f>VLOOKUP(B61,Справочник!$A$2:$B$23,2,FALSE)</f>
        <v>Департамент продажи муки (Опт)</v>
      </c>
      <c r="D61" s="5" t="s">
        <v>31</v>
      </c>
      <c r="E61" s="5" t="str">
        <f>VLOOKUP(D61,Справочник!$D$2:$E$119,2,FALSE)</f>
        <v>Урунов Акмалхуча Абдуллоевич</v>
      </c>
      <c r="F61" s="2" t="s">
        <v>21</v>
      </c>
      <c r="G61" s="7" t="str">
        <f>VLOOKUP(F61,Справочник!$D$2:$E$119,2,FALSE)</f>
        <v>Кодиров Камолчон Насимчонович</v>
      </c>
      <c r="H61" s="2" t="s">
        <v>140</v>
      </c>
      <c r="I61" s="7" t="str">
        <f>VLOOKUP(H61,Справочник!$H$2:$I$164,2,FALSE)</f>
        <v>ҶДММ "Ориён Мил"</v>
      </c>
    </row>
    <row r="62" spans="1:9" ht="19.95" customHeight="1" x14ac:dyDescent="0.3">
      <c r="A62" s="5">
        <v>61</v>
      </c>
      <c r="B62" s="5" t="s">
        <v>29</v>
      </c>
      <c r="C62" s="5" t="str">
        <f>VLOOKUP(B62,Справочник!$A$2:$B$23,2,FALSE)</f>
        <v>Департамент продажи муки (Опт)</v>
      </c>
      <c r="D62" s="5" t="s">
        <v>31</v>
      </c>
      <c r="E62" s="5" t="str">
        <f>VLOOKUP(D62,Справочник!$D$2:$E$119,2,FALSE)</f>
        <v>Урунов Акмалхуча Абдуллоевич</v>
      </c>
      <c r="F62" s="2" t="s">
        <v>21</v>
      </c>
      <c r="G62" s="5" t="str">
        <f>VLOOKUP(F62,Справочник!$D$2:$E$119,2,FALSE)</f>
        <v>Кодиров Камолчон Насимчонович</v>
      </c>
      <c r="H62" s="2" t="s">
        <v>85</v>
      </c>
      <c r="I62" s="5" t="str">
        <f>VLOOKUP(H62,Справочник!$H$2:$I$164,2,FALSE)</f>
        <v>ҶДММ "СеганҶ"</v>
      </c>
    </row>
    <row r="63" spans="1:9" ht="19.95" customHeight="1" x14ac:dyDescent="0.3">
      <c r="A63" s="6">
        <v>62</v>
      </c>
      <c r="B63" s="5" t="s">
        <v>29</v>
      </c>
      <c r="C63" s="5" t="str">
        <f>VLOOKUP(B63,Справочник!$A$2:$B$23,2,FALSE)</f>
        <v>Департамент продажи муки (Опт)</v>
      </c>
      <c r="D63" s="5" t="s">
        <v>31</v>
      </c>
      <c r="E63" s="5" t="str">
        <f>VLOOKUP(D63,Справочник!$D$2:$E$119,2,FALSE)</f>
        <v>Урунов Акмалхуча Абдуллоевич</v>
      </c>
      <c r="F63" s="2" t="s">
        <v>21</v>
      </c>
      <c r="G63" s="7" t="str">
        <f>VLOOKUP(F63,Справочник!$D$2:$E$119,2,FALSE)</f>
        <v>Кодиров Камолчон Насимчонович</v>
      </c>
      <c r="H63" s="2" t="s">
        <v>141</v>
      </c>
      <c r="I63" s="7" t="str">
        <f>VLOOKUP(H63,Справочник!$H$2:$I$164,2,FALSE)</f>
        <v>ҶДММ "ҳоҶи Юсуф"</v>
      </c>
    </row>
    <row r="64" spans="1:9" ht="19.95" customHeight="1" x14ac:dyDescent="0.3">
      <c r="A64" s="5">
        <v>63</v>
      </c>
      <c r="B64" s="5" t="s">
        <v>32</v>
      </c>
      <c r="C64" s="5" t="str">
        <f>VLOOKUP(B64,Справочник!$A$2:$B$23,2,FALSE)</f>
        <v>Департамент Развития</v>
      </c>
      <c r="D64" s="5" t="s">
        <v>34</v>
      </c>
      <c r="E64" s="5" t="str">
        <f>VLOOKUP(D64,Справочник!$D$2:$E$119,2,FALSE)</f>
        <v>Ахроров Ахрорхон Аълохонович</v>
      </c>
      <c r="F64" s="2" t="s">
        <v>35</v>
      </c>
      <c r="G64" s="5" t="str">
        <f>VLOOKUP(F64,Справочник!$D$2:$E$119,2,FALSE)</f>
        <v>Каримов Дилшодчон Зафарчонович</v>
      </c>
      <c r="H64" s="2" t="s">
        <v>142</v>
      </c>
      <c r="I64" s="5" t="str">
        <f>VLOOKUP(H64,Справочник!$H$2:$I$164,2,FALSE)</f>
        <v>Амид групп</v>
      </c>
    </row>
    <row r="65" spans="1:9" ht="19.95" customHeight="1" x14ac:dyDescent="0.3">
      <c r="A65" s="6">
        <v>64</v>
      </c>
      <c r="B65" s="5" t="s">
        <v>32</v>
      </c>
      <c r="C65" s="5" t="str">
        <f>VLOOKUP(B65,Справочник!$A$2:$B$23,2,FALSE)</f>
        <v>Департамент Развития</v>
      </c>
      <c r="D65" s="5" t="s">
        <v>34</v>
      </c>
      <c r="E65" s="5" t="str">
        <f>VLOOKUP(D65,Справочник!$D$2:$E$119,2,FALSE)</f>
        <v>Ахроров Ахрорхон Аълохонович</v>
      </c>
      <c r="F65" s="2" t="s">
        <v>35</v>
      </c>
      <c r="G65" s="7" t="str">
        <f>VLOOKUP(F65,Справочник!$D$2:$E$119,2,FALSE)</f>
        <v>Каримов Дилшодчон Зафарчонович</v>
      </c>
      <c r="H65" s="2" t="s">
        <v>143</v>
      </c>
      <c r="I65" s="7" t="str">
        <f>VLOOKUP(H65,Справочник!$H$2:$I$164,2,FALSE)</f>
        <v>АНТ</v>
      </c>
    </row>
    <row r="66" spans="1:9" ht="19.95" customHeight="1" x14ac:dyDescent="0.3">
      <c r="A66" s="5">
        <v>65</v>
      </c>
      <c r="B66" s="5" t="s">
        <v>32</v>
      </c>
      <c r="C66" s="5" t="str">
        <f>VLOOKUP(B66,Справочник!$A$2:$B$23,2,FALSE)</f>
        <v>Департамент Развития</v>
      </c>
      <c r="D66" s="5" t="s">
        <v>34</v>
      </c>
      <c r="E66" s="5" t="str">
        <f>VLOOKUP(D66,Справочник!$D$2:$E$119,2,FALSE)</f>
        <v>Ахроров Ахрорхон Аълохонович</v>
      </c>
      <c r="F66" s="2" t="s">
        <v>35</v>
      </c>
      <c r="G66" s="5" t="str">
        <f>VLOOKUP(F66,Справочник!$D$2:$E$119,2,FALSE)</f>
        <v>Каримов Дилшодчон Зафарчонович</v>
      </c>
      <c r="H66" s="2" t="s">
        <v>144</v>
      </c>
      <c r="I66" s="5" t="str">
        <f>VLOOKUP(H66,Справочник!$H$2:$I$164,2,FALSE)</f>
        <v>Банк Эсхата</v>
      </c>
    </row>
    <row r="67" spans="1:9" ht="19.95" customHeight="1" x14ac:dyDescent="0.3">
      <c r="A67" s="6">
        <v>66</v>
      </c>
      <c r="B67" s="5" t="s">
        <v>32</v>
      </c>
      <c r="C67" s="5" t="str">
        <f>VLOOKUP(B67,Справочник!$A$2:$B$23,2,FALSE)</f>
        <v>Департамент Развития</v>
      </c>
      <c r="D67" s="5" t="s">
        <v>34</v>
      </c>
      <c r="E67" s="5" t="str">
        <f>VLOOKUP(D67,Справочник!$D$2:$E$119,2,FALSE)</f>
        <v>Ахроров Ахрорхон Аълохонович</v>
      </c>
      <c r="F67" s="2" t="s">
        <v>35</v>
      </c>
      <c r="G67" s="7" t="str">
        <f>VLOOKUP(F67,Справочник!$D$2:$E$119,2,FALSE)</f>
        <v>Каримов Дилшодчон Зафарчонович</v>
      </c>
      <c r="H67" s="2" t="s">
        <v>145</v>
      </c>
      <c r="I67" s="7" t="str">
        <f>VLOOKUP(H67,Справочник!$H$2:$I$164,2,FALSE)</f>
        <v>Группа компаний Бабаджанова И.</v>
      </c>
    </row>
    <row r="68" spans="1:9" ht="19.95" customHeight="1" x14ac:dyDescent="0.3">
      <c r="A68" s="5">
        <v>67</v>
      </c>
      <c r="B68" s="5" t="s">
        <v>32</v>
      </c>
      <c r="C68" s="5" t="str">
        <f>VLOOKUP(B68,Справочник!$A$2:$B$23,2,FALSE)</f>
        <v>Департамент Развития</v>
      </c>
      <c r="D68" s="5" t="s">
        <v>34</v>
      </c>
      <c r="E68" s="5" t="str">
        <f>VLOOKUP(D68,Справочник!$D$2:$E$119,2,FALSE)</f>
        <v>Ахроров Ахрорхон Аълохонович</v>
      </c>
      <c r="F68" s="2" t="s">
        <v>35</v>
      </c>
      <c r="G68" s="5" t="str">
        <f>VLOOKUP(F68,Справочник!$D$2:$E$119,2,FALSE)</f>
        <v>Каримов Дилшодчон Зафарчонович</v>
      </c>
      <c r="H68" s="2" t="s">
        <v>90</v>
      </c>
      <c r="I68" s="5" t="str">
        <f>VLOOKUP(H68,Справочник!$H$2:$I$164,2,FALSE)</f>
        <v>Далерон</v>
      </c>
    </row>
    <row r="69" spans="1:9" ht="19.95" customHeight="1" x14ac:dyDescent="0.3">
      <c r="A69" s="6">
        <v>68</v>
      </c>
      <c r="B69" s="5" t="s">
        <v>32</v>
      </c>
      <c r="C69" s="5" t="str">
        <f>VLOOKUP(B69,Справочник!$A$2:$B$23,2,FALSE)</f>
        <v>Департамент Развития</v>
      </c>
      <c r="D69" s="5" t="s">
        <v>34</v>
      </c>
      <c r="E69" s="5" t="str">
        <f>VLOOKUP(D69,Справочник!$D$2:$E$119,2,FALSE)</f>
        <v>Ахроров Ахрорхон Аълохонович</v>
      </c>
      <c r="F69" s="2" t="s">
        <v>35</v>
      </c>
      <c r="G69" s="7" t="str">
        <f>VLOOKUP(F69,Справочник!$D$2:$E$119,2,FALSE)</f>
        <v>Каримов Дилшодчон Зафарчонович</v>
      </c>
      <c r="H69" s="2" t="s">
        <v>83</v>
      </c>
      <c r="I69" s="7" t="str">
        <f>VLOOKUP(H69,Справочник!$H$2:$I$164,2,FALSE)</f>
        <v>Молочная радость (Афзал)</v>
      </c>
    </row>
    <row r="70" spans="1:9" ht="19.95" customHeight="1" x14ac:dyDescent="0.3">
      <c r="A70" s="5">
        <v>69</v>
      </c>
      <c r="B70" s="5" t="s">
        <v>32</v>
      </c>
      <c r="C70" s="5" t="str">
        <f>VLOOKUP(B70,Справочник!$A$2:$B$23,2,FALSE)</f>
        <v>Департамент Развития</v>
      </c>
      <c r="D70" s="5" t="s">
        <v>34</v>
      </c>
      <c r="E70" s="5" t="str">
        <f>VLOOKUP(D70,Справочник!$D$2:$E$119,2,FALSE)</f>
        <v>Ахроров Ахрорхон Аълохонович</v>
      </c>
      <c r="F70" s="2" t="s">
        <v>35</v>
      </c>
      <c r="G70" s="5" t="str">
        <f>VLOOKUP(F70,Справочник!$D$2:$E$119,2,FALSE)</f>
        <v>Каримов Дилшодчон Зафарчонович</v>
      </c>
      <c r="H70" s="2" t="s">
        <v>100</v>
      </c>
      <c r="I70" s="5" t="str">
        <f>VLOOKUP(H70,Справочник!$H$2:$I$164,2,FALSE)</f>
        <v>Файзи Расул</v>
      </c>
    </row>
    <row r="71" spans="1:9" ht="19.95" customHeight="1" x14ac:dyDescent="0.3">
      <c r="A71" s="6">
        <v>70</v>
      </c>
      <c r="B71" s="5" t="s">
        <v>32</v>
      </c>
      <c r="C71" s="5" t="str">
        <f>VLOOKUP(B71,Справочник!$A$2:$B$23,2,FALSE)</f>
        <v>Департамент Развития</v>
      </c>
      <c r="D71" s="5" t="s">
        <v>34</v>
      </c>
      <c r="E71" s="5" t="str">
        <f>VLOOKUP(D71,Справочник!$D$2:$E$119,2,FALSE)</f>
        <v>Ахроров Ахрорхон Аълохонович</v>
      </c>
      <c r="F71" s="2" t="s">
        <v>35</v>
      </c>
      <c r="G71" s="7" t="str">
        <f>VLOOKUP(F71,Справочник!$D$2:$E$119,2,FALSE)</f>
        <v>Каримов Дилшодчон Зафарчонович</v>
      </c>
      <c r="H71" s="2" t="s">
        <v>146</v>
      </c>
      <c r="I71" s="7" t="str">
        <f>VLOOKUP(H71,Справочник!$H$2:$I$164,2,FALSE)</f>
        <v>LEGA</v>
      </c>
    </row>
    <row r="72" spans="1:9" ht="19.95" customHeight="1" x14ac:dyDescent="0.3">
      <c r="A72" s="5">
        <v>71</v>
      </c>
      <c r="B72" s="5" t="s">
        <v>36</v>
      </c>
      <c r="C72" s="5" t="str">
        <f>VLOOKUP(B72,Справочник!$A$2:$B$23,2,FALSE)</f>
        <v>Департамент Снабжения</v>
      </c>
      <c r="D72" s="5" t="s">
        <v>24</v>
      </c>
      <c r="E72" s="5" t="str">
        <f>VLOOKUP(D72,Справочник!$D$2:$E$119,2,FALSE)</f>
        <v>Пономарев Олег Александрович</v>
      </c>
      <c r="F72" s="2" t="s">
        <v>13</v>
      </c>
      <c r="G72" s="5" t="str">
        <f>VLOOKUP(F72,Справочник!$D$2:$E$119,2,FALSE)</f>
        <v>Зокирова Зебочон Абдуазимовна</v>
      </c>
      <c r="H72" s="2" t="s">
        <v>147</v>
      </c>
      <c r="I72" s="5" t="str">
        <f>VLOOKUP(H72,Справочник!$H$2:$I$164,2,FALSE)</f>
        <v>Азия Фарм</v>
      </c>
    </row>
    <row r="73" spans="1:9" ht="19.95" customHeight="1" x14ac:dyDescent="0.3">
      <c r="A73" s="6">
        <v>72</v>
      </c>
      <c r="B73" s="5" t="s">
        <v>36</v>
      </c>
      <c r="C73" s="5" t="str">
        <f>VLOOKUP(B73,Справочник!$A$2:$B$23,2,FALSE)</f>
        <v>Департамент Снабжения</v>
      </c>
      <c r="D73" s="5" t="s">
        <v>24</v>
      </c>
      <c r="E73" s="5" t="str">
        <f>VLOOKUP(D73,Справочник!$D$2:$E$119,2,FALSE)</f>
        <v>Пономарев Олег Александрович</v>
      </c>
      <c r="F73" s="2" t="s">
        <v>13</v>
      </c>
      <c r="G73" s="7" t="str">
        <f>VLOOKUP(F73,Справочник!$D$2:$E$119,2,FALSE)</f>
        <v>Зокирова Зебочон Абдуазимовна</v>
      </c>
      <c r="H73" s="2" t="s">
        <v>119</v>
      </c>
      <c r="I73" s="7" t="str">
        <f>VLOOKUP(H73,Справочник!$H$2:$I$164,2,FALSE)</f>
        <v>Амид</v>
      </c>
    </row>
    <row r="74" spans="1:9" ht="19.95" customHeight="1" x14ac:dyDescent="0.3">
      <c r="A74" s="5">
        <v>73</v>
      </c>
      <c r="B74" s="5" t="s">
        <v>36</v>
      </c>
      <c r="C74" s="5" t="str">
        <f>VLOOKUP(B74,Справочник!$A$2:$B$23,2,FALSE)</f>
        <v>Департамент Снабжения</v>
      </c>
      <c r="D74" s="5" t="s">
        <v>24</v>
      </c>
      <c r="E74" s="5" t="str">
        <f>VLOOKUP(D74,Справочник!$D$2:$E$119,2,FALSE)</f>
        <v>Пономарев Олег Александрович</v>
      </c>
      <c r="F74" s="2" t="s">
        <v>13</v>
      </c>
      <c r="G74" s="5" t="str">
        <f>VLOOKUP(F74,Справочник!$D$2:$E$119,2,FALSE)</f>
        <v>Зокирова Зебочон Абдуазимовна</v>
      </c>
      <c r="H74" s="2" t="s">
        <v>120</v>
      </c>
      <c r="I74" s="5" t="str">
        <f>VLOOKUP(H74,Справочник!$H$2:$I$164,2,FALSE)</f>
        <v>Ачр</v>
      </c>
    </row>
    <row r="75" spans="1:9" ht="19.95" customHeight="1" x14ac:dyDescent="0.3">
      <c r="A75" s="6">
        <v>74</v>
      </c>
      <c r="B75" s="5" t="s">
        <v>36</v>
      </c>
      <c r="C75" s="5" t="str">
        <f>VLOOKUP(B75,Справочник!$A$2:$B$23,2,FALSE)</f>
        <v>Департамент Снабжения</v>
      </c>
      <c r="D75" s="5" t="s">
        <v>24</v>
      </c>
      <c r="E75" s="5" t="str">
        <f>VLOOKUP(D75,Справочник!$D$2:$E$119,2,FALSE)</f>
        <v>Пономарев Олег Александрович</v>
      </c>
      <c r="F75" s="2" t="s">
        <v>13</v>
      </c>
      <c r="G75" s="7" t="str">
        <f>VLOOKUP(F75,Справочник!$D$2:$E$119,2,FALSE)</f>
        <v>Зокирова Зебочон Абдуазимовна</v>
      </c>
      <c r="H75" s="2" t="s">
        <v>121</v>
      </c>
      <c r="I75" s="7" t="str">
        <f>VLOOKUP(H75,Справочник!$H$2:$I$164,2,FALSE)</f>
        <v>Буона</v>
      </c>
    </row>
    <row r="76" spans="1:9" ht="19.95" customHeight="1" x14ac:dyDescent="0.3">
      <c r="A76" s="5">
        <v>75</v>
      </c>
      <c r="B76" s="5" t="s">
        <v>36</v>
      </c>
      <c r="C76" s="5" t="str">
        <f>VLOOKUP(B76,Справочник!$A$2:$B$23,2,FALSE)</f>
        <v>Департамент Снабжения</v>
      </c>
      <c r="D76" s="5" t="s">
        <v>24</v>
      </c>
      <c r="E76" s="5" t="str">
        <f>VLOOKUP(D76,Справочник!$D$2:$E$119,2,FALSE)</f>
        <v>Пономарев Олег Александрович</v>
      </c>
      <c r="F76" s="2" t="s">
        <v>13</v>
      </c>
      <c r="G76" s="5" t="str">
        <f>VLOOKUP(F76,Справочник!$D$2:$E$119,2,FALSE)</f>
        <v>Зокирова Зебочон Абдуазимовна</v>
      </c>
      <c r="H76" s="2" t="s">
        <v>90</v>
      </c>
      <c r="I76" s="5" t="str">
        <f>VLOOKUP(H76,Справочник!$H$2:$I$164,2,FALSE)</f>
        <v>Далерон</v>
      </c>
    </row>
    <row r="77" spans="1:9" ht="19.95" customHeight="1" x14ac:dyDescent="0.3">
      <c r="A77" s="6">
        <v>76</v>
      </c>
      <c r="B77" s="5" t="s">
        <v>36</v>
      </c>
      <c r="C77" s="5" t="str">
        <f>VLOOKUP(B77,Справочник!$A$2:$B$23,2,FALSE)</f>
        <v>Департамент Снабжения</v>
      </c>
      <c r="D77" s="5" t="s">
        <v>24</v>
      </c>
      <c r="E77" s="5" t="str">
        <f>VLOOKUP(D77,Справочник!$D$2:$E$119,2,FALSE)</f>
        <v>Пономарев Олег Александрович</v>
      </c>
      <c r="F77" s="2" t="s">
        <v>13</v>
      </c>
      <c r="G77" s="7" t="str">
        <f>VLOOKUP(F77,Справочник!$D$2:$E$119,2,FALSE)</f>
        <v>Зокирова Зебочон Абдуазимовна</v>
      </c>
      <c r="H77" s="2" t="s">
        <v>122</v>
      </c>
      <c r="I77" s="7" t="str">
        <f>VLOOKUP(H77,Справочник!$H$2:$I$164,2,FALSE)</f>
        <v>Муосир пласт</v>
      </c>
    </row>
    <row r="78" spans="1:9" ht="19.95" customHeight="1" x14ac:dyDescent="0.3">
      <c r="A78" s="5">
        <v>77</v>
      </c>
      <c r="B78" s="5" t="s">
        <v>36</v>
      </c>
      <c r="C78" s="5" t="str">
        <f>VLOOKUP(B78,Справочник!$A$2:$B$23,2,FALSE)</f>
        <v>Департамент Снабжения</v>
      </c>
      <c r="D78" s="5" t="s">
        <v>24</v>
      </c>
      <c r="E78" s="5" t="str">
        <f>VLOOKUP(D78,Справочник!$D$2:$E$119,2,FALSE)</f>
        <v>Пономарев Олег Александрович</v>
      </c>
      <c r="F78" s="2" t="s">
        <v>13</v>
      </c>
      <c r="G78" s="5" t="str">
        <f>VLOOKUP(F78,Справочник!$D$2:$E$119,2,FALSE)</f>
        <v>Зокирова Зебочон Абдуазимовна</v>
      </c>
      <c r="H78" s="2" t="s">
        <v>123</v>
      </c>
      <c r="I78" s="5" t="str">
        <f>VLOOKUP(H78,Справочник!$H$2:$I$164,2,FALSE)</f>
        <v>Орди Фатир</v>
      </c>
    </row>
    <row r="79" spans="1:9" ht="19.95" customHeight="1" x14ac:dyDescent="0.3">
      <c r="A79" s="6">
        <v>78</v>
      </c>
      <c r="B79" s="5" t="s">
        <v>36</v>
      </c>
      <c r="C79" s="5" t="str">
        <f>VLOOKUP(B79,Справочник!$A$2:$B$23,2,FALSE)</f>
        <v>Департамент Снабжения</v>
      </c>
      <c r="D79" s="5" t="s">
        <v>24</v>
      </c>
      <c r="E79" s="5" t="str">
        <f>VLOOKUP(D79,Справочник!$D$2:$E$119,2,FALSE)</f>
        <v>Пономарев Олег Александрович</v>
      </c>
      <c r="F79" s="2" t="s">
        <v>13</v>
      </c>
      <c r="G79" s="7" t="str">
        <f>VLOOKUP(F79,Справочник!$D$2:$E$119,2,FALSE)</f>
        <v>Зокирова Зебочон Абдуазимовна</v>
      </c>
      <c r="H79" s="2" t="s">
        <v>124</v>
      </c>
      <c r="I79" s="7" t="str">
        <f>VLOOKUP(H79,Справочник!$H$2:$I$164,2,FALSE)</f>
        <v>Чучаи Байзо</v>
      </c>
    </row>
    <row r="80" spans="1:9" ht="19.95" customHeight="1" x14ac:dyDescent="0.3">
      <c r="A80" s="5">
        <v>79</v>
      </c>
      <c r="B80" s="5" t="s">
        <v>36</v>
      </c>
      <c r="C80" s="5" t="str">
        <f>VLOOKUP(B80,Справочник!$A$2:$B$23,2,FALSE)</f>
        <v>Департамент Снабжения</v>
      </c>
      <c r="D80" s="5" t="s">
        <v>24</v>
      </c>
      <c r="E80" s="5" t="str">
        <f>VLOOKUP(D80,Справочник!$D$2:$E$119,2,FALSE)</f>
        <v>Пономарев Олег Александрович</v>
      </c>
      <c r="F80" s="2" t="s">
        <v>13</v>
      </c>
      <c r="G80" s="5" t="str">
        <f>VLOOKUP(F80,Справочник!$D$2:$E$119,2,FALSE)</f>
        <v>Зокирова Зебочон Абдуазимовна</v>
      </c>
      <c r="H80" s="2" t="s">
        <v>125</v>
      </c>
      <c r="I80" s="5" t="str">
        <f>VLOOKUP(H80,Справочник!$H$2:$I$164,2,FALSE)</f>
        <v>Grass</v>
      </c>
    </row>
    <row r="81" spans="1:9" ht="19.95" customHeight="1" x14ac:dyDescent="0.3">
      <c r="A81" s="6">
        <v>80</v>
      </c>
      <c r="B81" s="5" t="s">
        <v>36</v>
      </c>
      <c r="C81" s="5" t="str">
        <f>VLOOKUP(B81,Справочник!$A$2:$B$23,2,FALSE)</f>
        <v>Департамент Снабжения</v>
      </c>
      <c r="D81" s="5" t="s">
        <v>24</v>
      </c>
      <c r="E81" s="5" t="str">
        <f>VLOOKUP(D81,Справочник!$D$2:$E$119,2,FALSE)</f>
        <v>Пономарев Олег Александрович</v>
      </c>
      <c r="F81" s="2" t="s">
        <v>13</v>
      </c>
      <c r="G81" s="7" t="str">
        <f>VLOOKUP(F81,Справочник!$D$2:$E$119,2,FALSE)</f>
        <v>Зокирова Зебочон Абдуазимовна</v>
      </c>
      <c r="H81" s="2" t="s">
        <v>126</v>
      </c>
      <c r="I81" s="7" t="str">
        <f>VLOOKUP(H81,Справочник!$H$2:$I$164,2,FALSE)</f>
        <v>Lega</v>
      </c>
    </row>
    <row r="82" spans="1:9" ht="19.95" customHeight="1" x14ac:dyDescent="0.3">
      <c r="A82" s="5">
        <v>81</v>
      </c>
      <c r="B82" s="5" t="s">
        <v>36</v>
      </c>
      <c r="C82" s="5" t="str">
        <f>VLOOKUP(B82,Справочник!$A$2:$B$23,2,FALSE)</f>
        <v>Департамент Снабжения</v>
      </c>
      <c r="D82" s="5" t="s">
        <v>24</v>
      </c>
      <c r="E82" s="5" t="str">
        <f>VLOOKUP(D82,Справочник!$D$2:$E$119,2,FALSE)</f>
        <v>Пономарев Олег Александрович</v>
      </c>
      <c r="F82" s="2" t="s">
        <v>13</v>
      </c>
      <c r="G82" s="5" t="str">
        <f>VLOOKUP(F82,Справочник!$D$2:$E$119,2,FALSE)</f>
        <v>Зокирова Зебочон Абдуазимовна</v>
      </c>
      <c r="H82" s="2" t="s">
        <v>127</v>
      </c>
      <c r="I82" s="5" t="str">
        <f>VLOOKUP(H82,Справочник!$H$2:$I$164,2,FALSE)</f>
        <v>Silcoat</v>
      </c>
    </row>
    <row r="83" spans="1:9" ht="34.049999999999997" customHeight="1" x14ac:dyDescent="0.3">
      <c r="A83" s="6">
        <v>82</v>
      </c>
      <c r="B83" s="5" t="s">
        <v>37</v>
      </c>
      <c r="C83" s="5" t="str">
        <f>VLOOKUP(B83,Справочник!$A$2:$B$23,2,FALSE)</f>
        <v>Дивизион масла</v>
      </c>
      <c r="D83" s="5" t="s">
        <v>39</v>
      </c>
      <c r="E83" s="5" t="str">
        <f>VLOOKUP(D83,Справочник!$D$2:$E$119,2,FALSE)</f>
        <v>Ахмедбоев Мубинчон Мукимчонович</v>
      </c>
      <c r="F83" s="2" t="s">
        <v>13</v>
      </c>
      <c r="G83" s="7" t="str">
        <f>VLOOKUP(F83,Справочник!$D$2:$E$119,2,FALSE)</f>
        <v>Зокирова Зебочон Абдуазимовна</v>
      </c>
      <c r="H83" s="2" t="s">
        <v>104</v>
      </c>
      <c r="I83" s="7" t="str">
        <f>VLOOKUP(H83,Справочник!$H$2:$I$164,2,FALSE)</f>
        <v>Авангард</v>
      </c>
    </row>
    <row r="84" spans="1:9" ht="34.049999999999997" customHeight="1" x14ac:dyDescent="0.3">
      <c r="A84" s="5">
        <v>83</v>
      </c>
      <c r="B84" s="5" t="s">
        <v>37</v>
      </c>
      <c r="C84" s="5" t="str">
        <f>VLOOKUP(B84,Справочник!$A$2:$B$23,2,FALSE)</f>
        <v>Дивизион масла</v>
      </c>
      <c r="D84" s="5" t="s">
        <v>39</v>
      </c>
      <c r="E84" s="5" t="str">
        <f>VLOOKUP(D84,Справочник!$D$2:$E$119,2,FALSE)</f>
        <v>Ахмедбоев Мубинчон Мукимчонович</v>
      </c>
      <c r="F84" s="2" t="s">
        <v>13</v>
      </c>
      <c r="G84" s="5" t="str">
        <f>VLOOKUP(F84,Справочник!$D$2:$E$119,2,FALSE)</f>
        <v>Зокирова Зебочон Абдуазимовна</v>
      </c>
      <c r="H84" s="2" t="s">
        <v>105</v>
      </c>
      <c r="I84" s="5" t="str">
        <f>VLOOKUP(H84,Справочник!$H$2:$I$164,2,FALSE)</f>
        <v>Андалеб</v>
      </c>
    </row>
    <row r="85" spans="1:9" ht="34.049999999999997" customHeight="1" x14ac:dyDescent="0.3">
      <c r="A85" s="6">
        <v>84</v>
      </c>
      <c r="B85" s="5" t="s">
        <v>37</v>
      </c>
      <c r="C85" s="5" t="str">
        <f>VLOOKUP(B85,Справочник!$A$2:$B$23,2,FALSE)</f>
        <v>Дивизион масла</v>
      </c>
      <c r="D85" s="5" t="s">
        <v>39</v>
      </c>
      <c r="E85" s="5" t="str">
        <f>VLOOKUP(D85,Справочник!$D$2:$E$119,2,FALSE)</f>
        <v>Ахмедбоев Мубинчон Мукимчонович</v>
      </c>
      <c r="F85" s="2" t="s">
        <v>13</v>
      </c>
      <c r="G85" s="7" t="str">
        <f>VLOOKUP(F85,Справочник!$D$2:$E$119,2,FALSE)</f>
        <v>Зокирова Зебочон Абдуазимовна</v>
      </c>
      <c r="H85" s="2" t="s">
        <v>120</v>
      </c>
      <c r="I85" s="7" t="str">
        <f>VLOOKUP(H85,Справочник!$H$2:$I$164,2,FALSE)</f>
        <v>Ачр</v>
      </c>
    </row>
    <row r="86" spans="1:9" ht="34.049999999999997" customHeight="1" x14ac:dyDescent="0.3">
      <c r="A86" s="5">
        <v>85</v>
      </c>
      <c r="B86" s="5" t="s">
        <v>37</v>
      </c>
      <c r="C86" s="5" t="str">
        <f>VLOOKUP(B86,Справочник!$A$2:$B$23,2,FALSE)</f>
        <v>Дивизион масла</v>
      </c>
      <c r="D86" s="5" t="s">
        <v>39</v>
      </c>
      <c r="E86" s="5" t="str">
        <f>VLOOKUP(D86,Справочник!$D$2:$E$119,2,FALSE)</f>
        <v>Ахмедбоев Мубинчон Мукимчонович</v>
      </c>
      <c r="F86" s="2" t="s">
        <v>13</v>
      </c>
      <c r="G86" s="5" t="str">
        <f>VLOOKUP(F86,Справочник!$D$2:$E$119,2,FALSE)</f>
        <v>Зокирова Зебочон Абдуазимовна</v>
      </c>
      <c r="H86" s="2" t="s">
        <v>107</v>
      </c>
      <c r="I86" s="5" t="str">
        <f>VLOOKUP(H86,Справочник!$H$2:$I$164,2,FALSE)</f>
        <v>Барс</v>
      </c>
    </row>
    <row r="87" spans="1:9" ht="34.049999999999997" customHeight="1" x14ac:dyDescent="0.3">
      <c r="A87" s="6">
        <v>86</v>
      </c>
      <c r="B87" s="5" t="s">
        <v>37</v>
      </c>
      <c r="C87" s="5" t="str">
        <f>VLOOKUP(B87,Справочник!$A$2:$B$23,2,FALSE)</f>
        <v>Дивизион масла</v>
      </c>
      <c r="D87" s="5" t="s">
        <v>39</v>
      </c>
      <c r="E87" s="5" t="str">
        <f>VLOOKUP(D87,Справочник!$D$2:$E$119,2,FALSE)</f>
        <v>Ахмедбоев Мубинчон Мукимчонович</v>
      </c>
      <c r="F87" s="2" t="s">
        <v>13</v>
      </c>
      <c r="G87" s="7" t="str">
        <f>VLOOKUP(F87,Справочник!$D$2:$E$119,2,FALSE)</f>
        <v>Зокирова Зебочон Абдуазимовна</v>
      </c>
      <c r="H87" s="2" t="s">
        <v>108</v>
      </c>
      <c r="I87" s="7" t="str">
        <f>VLOOKUP(H87,Справочник!$H$2:$I$164,2,FALSE)</f>
        <v>Зирвеко</v>
      </c>
    </row>
    <row r="88" spans="1:9" ht="34.049999999999997" customHeight="1" x14ac:dyDescent="0.3">
      <c r="A88" s="5">
        <v>87</v>
      </c>
      <c r="B88" s="5" t="s">
        <v>37</v>
      </c>
      <c r="C88" s="5" t="str">
        <f>VLOOKUP(B88,Справочник!$A$2:$B$23,2,FALSE)</f>
        <v>Дивизион масла</v>
      </c>
      <c r="D88" s="5" t="s">
        <v>39</v>
      </c>
      <c r="E88" s="5" t="str">
        <f>VLOOKUP(D88,Справочник!$D$2:$E$119,2,FALSE)</f>
        <v>Ахмедбоев Мубинчон Мукимчонович</v>
      </c>
      <c r="F88" s="2" t="s">
        <v>13</v>
      </c>
      <c r="G88" s="5" t="str">
        <f>VLOOKUP(F88,Справочник!$D$2:$E$119,2,FALSE)</f>
        <v>Зокирова Зебочон Абдуазимовна</v>
      </c>
      <c r="H88" s="2" t="s">
        <v>109</v>
      </c>
      <c r="I88" s="5" t="str">
        <f>VLOOKUP(H88,Справочник!$H$2:$I$164,2,FALSE)</f>
        <v>Зухал</v>
      </c>
    </row>
    <row r="89" spans="1:9" ht="34.049999999999997" customHeight="1" x14ac:dyDescent="0.3">
      <c r="A89" s="6">
        <v>88</v>
      </c>
      <c r="B89" s="5" t="s">
        <v>37</v>
      </c>
      <c r="C89" s="5" t="str">
        <f>VLOOKUP(B89,Справочник!$A$2:$B$23,2,FALSE)</f>
        <v>Дивизион масла</v>
      </c>
      <c r="D89" s="5" t="s">
        <v>39</v>
      </c>
      <c r="E89" s="5" t="str">
        <f>VLOOKUP(D89,Справочник!$D$2:$E$119,2,FALSE)</f>
        <v>Ахмедбоев Мубинчон Мукимчонович</v>
      </c>
      <c r="F89" s="2" t="s">
        <v>13</v>
      </c>
      <c r="G89" s="7" t="str">
        <f>VLOOKUP(F89,Справочник!$D$2:$E$119,2,FALSE)</f>
        <v>Зокирова Зебочон Абдуазимовна</v>
      </c>
      <c r="H89" s="2" t="s">
        <v>110</v>
      </c>
      <c r="I89" s="7" t="str">
        <f>VLOOKUP(H89,Справочник!$H$2:$I$164,2,FALSE)</f>
        <v>Мусаффо</v>
      </c>
    </row>
    <row r="90" spans="1:9" ht="34.049999999999997" customHeight="1" x14ac:dyDescent="0.3">
      <c r="A90" s="5">
        <v>89</v>
      </c>
      <c r="B90" s="5" t="s">
        <v>37</v>
      </c>
      <c r="C90" s="5" t="str">
        <f>VLOOKUP(B90,Справочник!$A$2:$B$23,2,FALSE)</f>
        <v>Дивизион масла</v>
      </c>
      <c r="D90" s="5" t="s">
        <v>39</v>
      </c>
      <c r="E90" s="5" t="str">
        <f>VLOOKUP(D90,Справочник!$D$2:$E$119,2,FALSE)</f>
        <v>Ахмедбоев Мубинчон Мукимчонович</v>
      </c>
      <c r="F90" s="2" t="s">
        <v>13</v>
      </c>
      <c r="G90" s="5" t="str">
        <f>VLOOKUP(F90,Справочник!$D$2:$E$119,2,FALSE)</f>
        <v>Зокирова Зебочон Абдуазимовна</v>
      </c>
      <c r="H90" s="2" t="s">
        <v>148</v>
      </c>
      <c r="I90" s="5" t="str">
        <f>VLOOKUP(H90,Справочник!$H$2:$I$164,2,FALSE)</f>
        <v>Саховат</v>
      </c>
    </row>
    <row r="91" spans="1:9" ht="34.049999999999997" customHeight="1" x14ac:dyDescent="0.3">
      <c r="A91" s="6">
        <v>90</v>
      </c>
      <c r="B91" s="5" t="s">
        <v>37</v>
      </c>
      <c r="C91" s="5" t="str">
        <f>VLOOKUP(B91,Справочник!$A$2:$B$23,2,FALSE)</f>
        <v>Дивизион масла</v>
      </c>
      <c r="D91" s="5" t="s">
        <v>39</v>
      </c>
      <c r="E91" s="5" t="str">
        <f>VLOOKUP(D91,Справочник!$D$2:$E$119,2,FALSE)</f>
        <v>Ахмедбоев Мубинчон Мукимчонович</v>
      </c>
      <c r="F91" s="2" t="s">
        <v>13</v>
      </c>
      <c r="G91" s="7" t="str">
        <f>VLOOKUP(F91,Справочник!$D$2:$E$119,2,FALSE)</f>
        <v>Зокирова Зебочон Абдуазимовна</v>
      </c>
      <c r="H91" s="2" t="s">
        <v>112</v>
      </c>
      <c r="I91" s="7" t="str">
        <f>VLOOKUP(H91,Справочник!$H$2:$I$164,2,FALSE)</f>
        <v>Таджеро</v>
      </c>
    </row>
    <row r="92" spans="1:9" ht="34.049999999999997" customHeight="1" x14ac:dyDescent="0.3">
      <c r="A92" s="5">
        <v>91</v>
      </c>
      <c r="B92" s="5" t="s">
        <v>37</v>
      </c>
      <c r="C92" s="5" t="str">
        <f>VLOOKUP(B92,Справочник!$A$2:$B$23,2,FALSE)</f>
        <v>Дивизион масла</v>
      </c>
      <c r="D92" s="5" t="s">
        <v>39</v>
      </c>
      <c r="E92" s="5" t="str">
        <f>VLOOKUP(D92,Справочник!$D$2:$E$119,2,FALSE)</f>
        <v>Ахмедбоев Мубинчон Мукимчонович</v>
      </c>
      <c r="F92" s="2" t="s">
        <v>13</v>
      </c>
      <c r="G92" s="5" t="str">
        <f>VLOOKUP(F92,Справочник!$D$2:$E$119,2,FALSE)</f>
        <v>Зокирова Зебочон Абдуазимовна</v>
      </c>
      <c r="H92" s="2" t="s">
        <v>149</v>
      </c>
      <c r="I92" s="5" t="str">
        <f>VLOOKUP(H92,Справочник!$H$2:$I$164,2,FALSE)</f>
        <v>ХочиДавлат</v>
      </c>
    </row>
    <row r="93" spans="1:9" ht="34.049999999999997" customHeight="1" x14ac:dyDescent="0.3">
      <c r="A93" s="6">
        <v>92</v>
      </c>
      <c r="B93" s="5" t="s">
        <v>37</v>
      </c>
      <c r="C93" s="5" t="str">
        <f>VLOOKUP(B93,Справочник!$A$2:$B$23,2,FALSE)</f>
        <v>Дивизион масла</v>
      </c>
      <c r="D93" s="5" t="s">
        <v>39</v>
      </c>
      <c r="E93" s="5" t="str">
        <f>VLOOKUP(D93,Справочник!$D$2:$E$119,2,FALSE)</f>
        <v>Ахмедбоев Мубинчон Мукимчонович</v>
      </c>
      <c r="F93" s="2" t="s">
        <v>13</v>
      </c>
      <c r="G93" s="7" t="str">
        <f>VLOOKUP(F93,Справочник!$D$2:$E$119,2,FALSE)</f>
        <v>Зокирова Зебочон Абдуазимовна</v>
      </c>
      <c r="H93" s="2" t="s">
        <v>150</v>
      </c>
      <c r="I93" s="7" t="str">
        <f>VLOOKUP(H93,Справочник!$H$2:$I$164,2,FALSE)</f>
        <v>ХочиДаврон</v>
      </c>
    </row>
    <row r="94" spans="1:9" ht="34.049999999999997" customHeight="1" x14ac:dyDescent="0.3">
      <c r="A94" s="5">
        <v>93</v>
      </c>
      <c r="B94" s="5" t="s">
        <v>37</v>
      </c>
      <c r="C94" s="5" t="str">
        <f>VLOOKUP(B94,Справочник!$A$2:$B$23,2,FALSE)</f>
        <v>Дивизион масла</v>
      </c>
      <c r="D94" s="5" t="s">
        <v>39</v>
      </c>
      <c r="E94" s="5" t="str">
        <f>VLOOKUP(D94,Справочник!$D$2:$E$119,2,FALSE)</f>
        <v>Ахмедбоев Мубинчон Мукимчонович</v>
      </c>
      <c r="F94" s="2" t="s">
        <v>13</v>
      </c>
      <c r="G94" s="5" t="str">
        <f>VLOOKUP(F94,Справочник!$D$2:$E$119,2,FALSE)</f>
        <v>Зокирова Зебочон Абдуазимовна</v>
      </c>
      <c r="H94" s="2" t="s">
        <v>151</v>
      </c>
      <c r="I94" s="5" t="str">
        <f>VLOOKUP(H94,Справочник!$H$2:$I$164,2,FALSE)</f>
        <v>ҶДММ "Насими Набқ"</v>
      </c>
    </row>
    <row r="95" spans="1:9" ht="34.049999999999997" customHeight="1" x14ac:dyDescent="0.3">
      <c r="A95" s="6">
        <v>94</v>
      </c>
      <c r="B95" s="5" t="s">
        <v>37</v>
      </c>
      <c r="C95" s="5" t="str">
        <f>VLOOKUP(B95,Справочник!$A$2:$B$23,2,FALSE)</f>
        <v>Дивизион масла</v>
      </c>
      <c r="D95" s="5" t="s">
        <v>39</v>
      </c>
      <c r="E95" s="5" t="str">
        <f>VLOOKUP(D95,Справочник!$D$2:$E$119,2,FALSE)</f>
        <v>Ахмедбоев Мубинчон Мукимчонович</v>
      </c>
      <c r="F95" s="2" t="s">
        <v>13</v>
      </c>
      <c r="G95" s="7" t="str">
        <f>VLOOKUP(F95,Справочник!$D$2:$E$119,2,FALSE)</f>
        <v>Зокирова Зебочон Абдуазимовна</v>
      </c>
      <c r="H95" s="2" t="s">
        <v>152</v>
      </c>
      <c r="I95" s="7" t="str">
        <f>VLOOKUP(H95,Справочник!$H$2:$I$164,2,FALSE)</f>
        <v>ҶДММ "Насими Накб"</v>
      </c>
    </row>
    <row r="96" spans="1:9" ht="34.049999999999997" customHeight="1" x14ac:dyDescent="0.3">
      <c r="A96" s="5">
        <v>95</v>
      </c>
      <c r="B96" s="5" t="s">
        <v>37</v>
      </c>
      <c r="C96" s="5" t="str">
        <f>VLOOKUP(B96,Справочник!$A$2:$B$23,2,FALSE)</f>
        <v>Дивизион масла</v>
      </c>
      <c r="D96" s="5" t="s">
        <v>39</v>
      </c>
      <c r="E96" s="5" t="str">
        <f>VLOOKUP(D96,Справочник!$D$2:$E$119,2,FALSE)</f>
        <v>Ахмедбоев Мубинчон Мукимчонович</v>
      </c>
      <c r="F96" s="2" t="s">
        <v>13</v>
      </c>
      <c r="G96" s="5" t="str">
        <f>VLOOKUP(F96,Справочник!$D$2:$E$119,2,FALSE)</f>
        <v>Зокирова Зебочон Абдуазимовна</v>
      </c>
      <c r="H96" s="2" t="s">
        <v>153</v>
      </c>
      <c r="I96" s="5" t="str">
        <f>VLOOKUP(H96,Справочник!$H$2:$I$164,2,FALSE)</f>
        <v>ҶДММ "Сахо"</v>
      </c>
    </row>
    <row r="97" spans="1:9" ht="34.049999999999997" customHeight="1" x14ac:dyDescent="0.3">
      <c r="A97" s="6">
        <v>96</v>
      </c>
      <c r="B97" s="5" t="s">
        <v>37</v>
      </c>
      <c r="C97" s="5" t="str">
        <f>VLOOKUP(B97,Справочник!$A$2:$B$23,2,FALSE)</f>
        <v>Дивизион масла</v>
      </c>
      <c r="D97" s="5" t="s">
        <v>39</v>
      </c>
      <c r="E97" s="5" t="str">
        <f>VLOOKUP(D97,Справочник!$D$2:$E$119,2,FALSE)</f>
        <v>Ахмедбоев Мубинчон Мукимчонович</v>
      </c>
      <c r="F97" s="2" t="s">
        <v>13</v>
      </c>
      <c r="G97" s="7" t="str">
        <f>VLOOKUP(F97,Справочник!$D$2:$E$119,2,FALSE)</f>
        <v>Зокирова Зебочон Абдуазимовна</v>
      </c>
      <c r="H97" s="2" t="s">
        <v>154</v>
      </c>
      <c r="I97" s="7" t="str">
        <f>VLOOKUP(H97,Справочник!$H$2:$I$164,2,FALSE)</f>
        <v>ҶДММ "Тиҷорат Ойл"</v>
      </c>
    </row>
    <row r="98" spans="1:9" ht="34.049999999999997" customHeight="1" x14ac:dyDescent="0.3">
      <c r="A98" s="5">
        <v>97</v>
      </c>
      <c r="B98" s="5" t="s">
        <v>37</v>
      </c>
      <c r="C98" s="5" t="str">
        <f>VLOOKUP(B98,Справочник!$A$2:$B$23,2,FALSE)</f>
        <v>Дивизион масла</v>
      </c>
      <c r="D98" s="5" t="s">
        <v>39</v>
      </c>
      <c r="E98" s="5" t="str">
        <f>VLOOKUP(D98,Справочник!$D$2:$E$119,2,FALSE)</f>
        <v>Ахмедбоев Мубинчон Мукимчонович</v>
      </c>
      <c r="F98" s="2" t="s">
        <v>13</v>
      </c>
      <c r="G98" s="5" t="str">
        <f>VLOOKUP(F98,Справочник!$D$2:$E$119,2,FALSE)</f>
        <v>Зокирова Зебочон Абдуазимовна</v>
      </c>
      <c r="H98" s="2" t="s">
        <v>155</v>
      </c>
      <c r="I98" s="5" t="str">
        <f>VLOOKUP(H98,Справочник!$H$2:$I$164,2,FALSE)</f>
        <v>ҶСП "Зухал"</v>
      </c>
    </row>
    <row r="99" spans="1:9" ht="34.049999999999997" customHeight="1" x14ac:dyDescent="0.3">
      <c r="A99" s="6">
        <v>98</v>
      </c>
      <c r="B99" s="5" t="s">
        <v>40</v>
      </c>
      <c r="C99" s="5" t="str">
        <f>VLOOKUP(B99,Справочник!$A$2:$B$23,2,FALSE)</f>
        <v>Дивизион МК</v>
      </c>
      <c r="D99" s="5" t="s">
        <v>42</v>
      </c>
      <c r="E99" s="5" t="str">
        <f>VLOOKUP(D99,Справочник!$D$2:$E$119,2,FALSE)</f>
        <v>Самандаров Исмоилхоча Вохидхочаевич</v>
      </c>
      <c r="F99" s="2" t="s">
        <v>43</v>
      </c>
      <c r="G99" s="7" t="str">
        <f>VLOOKUP(F99,Справочник!$D$2:$E$119,2,FALSE)</f>
        <v>Собиров Аличон Лахаевич</v>
      </c>
      <c r="H99" s="2" t="s">
        <v>156</v>
      </c>
      <c r="I99" s="7" t="str">
        <f>VLOOKUP(H99,Справочник!$H$2:$I$164,2,FALSE)</f>
        <v>Дангара (китай)</v>
      </c>
    </row>
    <row r="100" spans="1:9" ht="34.049999999999997" customHeight="1" x14ac:dyDescent="0.3">
      <c r="A100" s="5">
        <v>99</v>
      </c>
      <c r="B100" s="5" t="s">
        <v>40</v>
      </c>
      <c r="C100" s="5" t="str">
        <f>VLOOKUP(B100,Справочник!$A$2:$B$23,2,FALSE)</f>
        <v>Дивизион МК</v>
      </c>
      <c r="D100" s="5" t="s">
        <v>42</v>
      </c>
      <c r="E100" s="5" t="str">
        <f>VLOOKUP(D100,Справочник!$D$2:$E$119,2,FALSE)</f>
        <v>Самандаров Исмоилхоча Вохидхочаевич</v>
      </c>
      <c r="F100" s="2" t="s">
        <v>43</v>
      </c>
      <c r="G100" s="5" t="str">
        <f>VLOOKUP(F100,Справочник!$D$2:$E$119,2,FALSE)</f>
        <v>Собиров Аличон Лахаевич</v>
      </c>
      <c r="H100" s="2" t="s">
        <v>157</v>
      </c>
      <c r="I100" s="5" t="str">
        <f>VLOOKUP(H100,Справочник!$H$2:$I$164,2,FALSE)</f>
        <v>Сохтмони Кабир</v>
      </c>
    </row>
    <row r="101" spans="1:9" ht="34.049999999999997" customHeight="1" x14ac:dyDescent="0.3">
      <c r="A101" s="6">
        <v>100</v>
      </c>
      <c r="B101" s="5" t="s">
        <v>40</v>
      </c>
      <c r="C101" s="5" t="str">
        <f>VLOOKUP(B101,Справочник!$A$2:$B$23,2,FALSE)</f>
        <v>Дивизион МК</v>
      </c>
      <c r="D101" s="5" t="s">
        <v>42</v>
      </c>
      <c r="E101" s="5" t="str">
        <f>VLOOKUP(D101,Справочник!$D$2:$E$119,2,FALSE)</f>
        <v>Самандаров Исмоилхоча Вохидхочаевич</v>
      </c>
      <c r="F101" s="2" t="s">
        <v>43</v>
      </c>
      <c r="G101" s="7" t="str">
        <f>VLOOKUP(F101,Справочник!$D$2:$E$119,2,FALSE)</f>
        <v>Собиров Аличон Лахаевич</v>
      </c>
      <c r="H101" s="2" t="s">
        <v>158</v>
      </c>
      <c r="I101" s="7" t="str">
        <f>VLOOKUP(H101,Справочник!$H$2:$I$164,2,FALSE)</f>
        <v>ТГЭМ</v>
      </c>
    </row>
    <row r="102" spans="1:9" ht="19.95" customHeight="1" x14ac:dyDescent="0.3">
      <c r="A102" s="5">
        <v>101</v>
      </c>
      <c r="B102" s="5" t="s">
        <v>44</v>
      </c>
      <c r="C102" s="5" t="str">
        <f>VLOOKUP(B102,Справочник!$A$2:$B$23,2,FALSE)</f>
        <v>Дивизион Птицефабрики</v>
      </c>
      <c r="D102" s="5" t="s">
        <v>46</v>
      </c>
      <c r="E102" s="5" t="str">
        <f>VLOOKUP(D102,Справочник!$D$2:$E$119,2,FALSE)</f>
        <v>Валиев Максудчон Абдуганиевич</v>
      </c>
      <c r="F102" s="2" t="s">
        <v>17</v>
      </c>
      <c r="G102" s="5" t="str">
        <f>VLOOKUP(F102,Справочник!$D$2:$E$119,2,FALSE)</f>
        <v>Боев Иброхимчон Далерович</v>
      </c>
      <c r="H102" s="2" t="s">
        <v>159</v>
      </c>
      <c r="I102" s="5" t="str">
        <f>VLOOKUP(H102,Справочник!$H$2:$I$164,2,FALSE)</f>
        <v>Амина К</v>
      </c>
    </row>
    <row r="103" spans="1:9" ht="19.95" customHeight="1" x14ac:dyDescent="0.3">
      <c r="A103" s="6">
        <v>102</v>
      </c>
      <c r="B103" s="5" t="s">
        <v>44</v>
      </c>
      <c r="C103" s="5" t="str">
        <f>VLOOKUP(B103,Справочник!$A$2:$B$23,2,FALSE)</f>
        <v>Дивизион Птицефабрики</v>
      </c>
      <c r="D103" s="5" t="s">
        <v>46</v>
      </c>
      <c r="E103" s="5" t="str">
        <f>VLOOKUP(D103,Справочник!$D$2:$E$119,2,FALSE)</f>
        <v>Валиев Максудчон Абдуганиевич</v>
      </c>
      <c r="F103" s="2" t="s">
        <v>17</v>
      </c>
      <c r="G103" s="7" t="str">
        <f>VLOOKUP(F103,Справочник!$D$2:$E$119,2,FALSE)</f>
        <v>Боев Иброхимчон Далерович</v>
      </c>
      <c r="H103" s="2" t="s">
        <v>160</v>
      </c>
      <c r="I103" s="7" t="str">
        <f>VLOOKUP(H103,Справочник!$H$2:$I$164,2,FALSE)</f>
        <v>Вохидов</v>
      </c>
    </row>
    <row r="104" spans="1:9" ht="19.95" customHeight="1" x14ac:dyDescent="0.3">
      <c r="A104" s="5">
        <v>103</v>
      </c>
      <c r="B104" s="5" t="s">
        <v>44</v>
      </c>
      <c r="C104" s="5" t="str">
        <f>VLOOKUP(B104,Справочник!$A$2:$B$23,2,FALSE)</f>
        <v>Дивизион Птицефабрики</v>
      </c>
      <c r="D104" s="5" t="s">
        <v>46</v>
      </c>
      <c r="E104" s="5" t="str">
        <f>VLOOKUP(D104,Справочник!$D$2:$E$119,2,FALSE)</f>
        <v>Валиев Максудчон Абдуганиевич</v>
      </c>
      <c r="F104" s="2" t="s">
        <v>17</v>
      </c>
      <c r="G104" s="5" t="str">
        <f>VLOOKUP(F104,Справочник!$D$2:$E$119,2,FALSE)</f>
        <v>Боев Иброхимчон Далерович</v>
      </c>
      <c r="H104" s="2" t="s">
        <v>90</v>
      </c>
      <c r="I104" s="5" t="str">
        <f>VLOOKUP(H104,Справочник!$H$2:$I$164,2,FALSE)</f>
        <v>Далерон</v>
      </c>
    </row>
    <row r="105" spans="1:9" ht="19.95" customHeight="1" x14ac:dyDescent="0.3">
      <c r="A105" s="6">
        <v>104</v>
      </c>
      <c r="B105" s="5" t="s">
        <v>44</v>
      </c>
      <c r="C105" s="5" t="str">
        <f>VLOOKUP(B105,Справочник!$A$2:$B$23,2,FALSE)</f>
        <v>Дивизион Птицефабрики</v>
      </c>
      <c r="D105" s="5" t="s">
        <v>46</v>
      </c>
      <c r="E105" s="5" t="str">
        <f>VLOOKUP(D105,Справочник!$D$2:$E$119,2,FALSE)</f>
        <v>Валиев Максудчон Абдуганиевич</v>
      </c>
      <c r="F105" s="2" t="s">
        <v>17</v>
      </c>
      <c r="G105" s="7" t="str">
        <f>VLOOKUP(F105,Справочник!$D$2:$E$119,2,FALSE)</f>
        <v>Боев Иброхимчон Далерович</v>
      </c>
      <c r="H105" s="2" t="s">
        <v>161</v>
      </c>
      <c r="I105" s="7" t="str">
        <f>VLOOKUP(H105,Справочник!$H$2:$I$164,2,FALSE)</f>
        <v>Мабрук</v>
      </c>
    </row>
    <row r="106" spans="1:9" ht="19.95" customHeight="1" x14ac:dyDescent="0.3">
      <c r="A106" s="5">
        <v>105</v>
      </c>
      <c r="B106" s="5" t="s">
        <v>44</v>
      </c>
      <c r="C106" s="5" t="str">
        <f>VLOOKUP(B106,Справочник!$A$2:$B$23,2,FALSE)</f>
        <v>Дивизион Птицефабрики</v>
      </c>
      <c r="D106" s="5" t="s">
        <v>46</v>
      </c>
      <c r="E106" s="5" t="str">
        <f>VLOOKUP(D106,Справочник!$D$2:$E$119,2,FALSE)</f>
        <v>Валиев Максудчон Абдуганиевич</v>
      </c>
      <c r="F106" s="2" t="s">
        <v>17</v>
      </c>
      <c r="G106" s="5" t="str">
        <f>VLOOKUP(F106,Справочник!$D$2:$E$119,2,FALSE)</f>
        <v>Боев Иброхимчон Далерович</v>
      </c>
      <c r="H106" s="2" t="s">
        <v>162</v>
      </c>
      <c r="I106" s="5" t="str">
        <f>VLOOKUP(H106,Справочник!$H$2:$I$164,2,FALSE)</f>
        <v>Мастчох</v>
      </c>
    </row>
    <row r="107" spans="1:9" ht="19.95" customHeight="1" x14ac:dyDescent="0.3">
      <c r="A107" s="6">
        <v>106</v>
      </c>
      <c r="B107" s="5" t="s">
        <v>44</v>
      </c>
      <c r="C107" s="5" t="str">
        <f>VLOOKUP(B107,Справочник!$A$2:$B$23,2,FALSE)</f>
        <v>Дивизион Птицефабрики</v>
      </c>
      <c r="D107" s="5" t="s">
        <v>46</v>
      </c>
      <c r="E107" s="5" t="str">
        <f>VLOOKUP(D107,Справочник!$D$2:$E$119,2,FALSE)</f>
        <v>Валиев Максудчон Абдуганиевич</v>
      </c>
      <c r="F107" s="2" t="s">
        <v>17</v>
      </c>
      <c r="G107" s="7" t="str">
        <f>VLOOKUP(F107,Справочник!$D$2:$E$119,2,FALSE)</f>
        <v>Боев Иброхимчон Далерович</v>
      </c>
      <c r="H107" s="2" t="s">
        <v>163</v>
      </c>
      <c r="I107" s="7" t="str">
        <f>VLOOKUP(H107,Справочник!$H$2:$I$164,2,FALSE)</f>
        <v>Некрой</v>
      </c>
    </row>
    <row r="108" spans="1:9" ht="19.95" customHeight="1" x14ac:dyDescent="0.3">
      <c r="A108" s="5">
        <v>107</v>
      </c>
      <c r="B108" s="5" t="s">
        <v>44</v>
      </c>
      <c r="C108" s="5" t="str">
        <f>VLOOKUP(B108,Справочник!$A$2:$B$23,2,FALSE)</f>
        <v>Дивизион Птицефабрики</v>
      </c>
      <c r="D108" s="5" t="s">
        <v>46</v>
      </c>
      <c r="E108" s="5" t="str">
        <f>VLOOKUP(D108,Справочник!$D$2:$E$119,2,FALSE)</f>
        <v>Валиев Максудчон Абдуганиевич</v>
      </c>
      <c r="F108" s="2" t="s">
        <v>17</v>
      </c>
      <c r="G108" s="5" t="str">
        <f>VLOOKUP(F108,Справочник!$D$2:$E$119,2,FALSE)</f>
        <v>Боев Иброхимчон Далерович</v>
      </c>
      <c r="H108" s="2" t="s">
        <v>148</v>
      </c>
      <c r="I108" s="5" t="str">
        <f>VLOOKUP(H108,Справочник!$H$2:$I$164,2,FALSE)</f>
        <v>Саховат</v>
      </c>
    </row>
    <row r="109" spans="1:9" ht="19.95" customHeight="1" x14ac:dyDescent="0.3">
      <c r="A109" s="6">
        <v>108</v>
      </c>
      <c r="B109" s="5" t="s">
        <v>44</v>
      </c>
      <c r="C109" s="5" t="str">
        <f>VLOOKUP(B109,Справочник!$A$2:$B$23,2,FALSE)</f>
        <v>Дивизион Птицефабрики</v>
      </c>
      <c r="D109" s="5" t="s">
        <v>46</v>
      </c>
      <c r="E109" s="5" t="str">
        <f>VLOOKUP(D109,Справочник!$D$2:$E$119,2,FALSE)</f>
        <v>Валиев Максудчон Абдуганиевич</v>
      </c>
      <c r="F109" s="2" t="s">
        <v>17</v>
      </c>
      <c r="G109" s="7" t="str">
        <f>VLOOKUP(F109,Справочник!$D$2:$E$119,2,FALSE)</f>
        <v>Боев Иброхимчон Далерович</v>
      </c>
      <c r="H109" s="2" t="s">
        <v>164</v>
      </c>
      <c r="I109" s="7" t="str">
        <f>VLOOKUP(H109,Справочник!$H$2:$I$164,2,FALSE)</f>
        <v>Тарз</v>
      </c>
    </row>
    <row r="110" spans="1:9" ht="19.95" customHeight="1" x14ac:dyDescent="0.3">
      <c r="A110" s="5">
        <v>109</v>
      </c>
      <c r="B110" s="5" t="s">
        <v>44</v>
      </c>
      <c r="C110" s="5" t="str">
        <f>VLOOKUP(B110,Справочник!$A$2:$B$23,2,FALSE)</f>
        <v>Дивизион Птицефабрики</v>
      </c>
      <c r="D110" s="5" t="s">
        <v>46</v>
      </c>
      <c r="E110" s="5" t="str">
        <f>VLOOKUP(D110,Справочник!$D$2:$E$119,2,FALSE)</f>
        <v>Валиев Максудчон Абдуганиевич</v>
      </c>
      <c r="F110" s="2" t="s">
        <v>17</v>
      </c>
      <c r="G110" s="5" t="str">
        <f>VLOOKUP(F110,Справочник!$D$2:$E$119,2,FALSE)</f>
        <v>Боев Иброхимчон Далерович</v>
      </c>
      <c r="H110" s="2" t="s">
        <v>165</v>
      </c>
      <c r="I110" s="5" t="str">
        <f>VLOOKUP(H110,Справочник!$H$2:$I$164,2,FALSE)</f>
        <v>Толис</v>
      </c>
    </row>
    <row r="111" spans="1:9" ht="19.95" customHeight="1" x14ac:dyDescent="0.3">
      <c r="A111" s="6">
        <v>110</v>
      </c>
      <c r="B111" s="5" t="s">
        <v>44</v>
      </c>
      <c r="C111" s="5" t="str">
        <f>VLOOKUP(B111,Справочник!$A$2:$B$23,2,FALSE)</f>
        <v>Дивизион Птицефабрики</v>
      </c>
      <c r="D111" s="5" t="s">
        <v>46</v>
      </c>
      <c r="E111" s="5" t="str">
        <f>VLOOKUP(D111,Справочник!$D$2:$E$119,2,FALSE)</f>
        <v>Валиев Максудчон Абдуганиевич</v>
      </c>
      <c r="F111" s="2" t="s">
        <v>17</v>
      </c>
      <c r="G111" s="7" t="str">
        <f>VLOOKUP(F111,Справочник!$D$2:$E$119,2,FALSE)</f>
        <v>Боев Иброхимчон Далерович</v>
      </c>
      <c r="H111" s="2" t="s">
        <v>166</v>
      </c>
      <c r="I111" s="7" t="str">
        <f>VLOOKUP(H111,Справочник!$H$2:$I$164,2,FALSE)</f>
        <v>Чиптура</v>
      </c>
    </row>
    <row r="112" spans="1:9" ht="19.95" customHeight="1" x14ac:dyDescent="0.3">
      <c r="A112" s="5">
        <v>111</v>
      </c>
      <c r="B112" s="5" t="s">
        <v>44</v>
      </c>
      <c r="C112" s="5" t="str">
        <f>VLOOKUP(B112,Справочник!$A$2:$B$23,2,FALSE)</f>
        <v>Дивизион Птицефабрики</v>
      </c>
      <c r="D112" s="5" t="s">
        <v>46</v>
      </c>
      <c r="E112" s="5" t="str">
        <f>VLOOKUP(D112,Справочник!$D$2:$E$119,2,FALSE)</f>
        <v>Валиев Максудчон Абдуганиевич</v>
      </c>
      <c r="F112" s="2" t="s">
        <v>17</v>
      </c>
      <c r="G112" s="5" t="str">
        <f>VLOOKUP(F112,Справочник!$D$2:$E$119,2,FALSE)</f>
        <v>Боев Иброхимчон Далерович</v>
      </c>
      <c r="H112" s="2" t="s">
        <v>167</v>
      </c>
      <c r="I112" s="5" t="str">
        <f>VLOOKUP(H112,Справочник!$H$2:$I$164,2,FALSE)</f>
        <v>Чучаи Заррин</v>
      </c>
    </row>
    <row r="113" spans="1:9" ht="34.049999999999997" customHeight="1" x14ac:dyDescent="0.3">
      <c r="A113" s="6">
        <v>112</v>
      </c>
      <c r="B113" s="5" t="s">
        <v>47</v>
      </c>
      <c r="C113" s="5" t="str">
        <f>VLOOKUP(B113,Справочник!$A$2:$B$23,2,FALSE)</f>
        <v>Отдел маркетинга</v>
      </c>
      <c r="D113" s="5" t="s">
        <v>49</v>
      </c>
      <c r="E113" s="5" t="str">
        <f>VLOOKUP(D113,Справочник!$D$2:$E$119,2,FALSE)</f>
        <v>Афанасьева Людмила Владимеровна</v>
      </c>
      <c r="F113" s="2" t="s">
        <v>35</v>
      </c>
      <c r="G113" s="7" t="str">
        <f>VLOOKUP(F113,Справочник!$D$2:$E$119,2,FALSE)</f>
        <v>Каримов Дилшодчон Зафарчонович</v>
      </c>
      <c r="H113" s="2" t="s">
        <v>142</v>
      </c>
      <c r="I113" s="7" t="str">
        <f>VLOOKUP(H113,Справочник!$H$2:$I$164,2,FALSE)</f>
        <v>Амид групп</v>
      </c>
    </row>
    <row r="114" spans="1:9" ht="34.049999999999997" customHeight="1" x14ac:dyDescent="0.3">
      <c r="A114" s="5">
        <v>113</v>
      </c>
      <c r="B114" s="5" t="s">
        <v>47</v>
      </c>
      <c r="C114" s="5" t="str">
        <f>VLOOKUP(B114,Справочник!$A$2:$B$23,2,FALSE)</f>
        <v>Отдел маркетинга</v>
      </c>
      <c r="D114" s="5" t="s">
        <v>49</v>
      </c>
      <c r="E114" s="5" t="str">
        <f>VLOOKUP(D114,Справочник!$D$2:$E$119,2,FALSE)</f>
        <v>Афанасьева Людмила Владимеровна</v>
      </c>
      <c r="F114" s="2" t="s">
        <v>35</v>
      </c>
      <c r="G114" s="5" t="str">
        <f>VLOOKUP(F114,Справочник!$D$2:$E$119,2,FALSE)</f>
        <v>Каримов Дилшодчон Зафарчонович</v>
      </c>
      <c r="H114" s="2" t="s">
        <v>144</v>
      </c>
      <c r="I114" s="5" t="str">
        <f>VLOOKUP(H114,Справочник!$H$2:$I$164,2,FALSE)</f>
        <v>Банк Эсхата</v>
      </c>
    </row>
    <row r="115" spans="1:9" ht="34.049999999999997" customHeight="1" x14ac:dyDescent="0.3">
      <c r="A115" s="6">
        <v>114</v>
      </c>
      <c r="B115" s="5" t="s">
        <v>47</v>
      </c>
      <c r="C115" s="5" t="str">
        <f>VLOOKUP(B115,Справочник!$A$2:$B$23,2,FALSE)</f>
        <v>Отдел маркетинга</v>
      </c>
      <c r="D115" s="5" t="s">
        <v>49</v>
      </c>
      <c r="E115" s="5" t="str">
        <f>VLOOKUP(D115,Справочник!$D$2:$E$119,2,FALSE)</f>
        <v>Афанасьева Людмила Владимеровна</v>
      </c>
      <c r="F115" s="2" t="s">
        <v>35</v>
      </c>
      <c r="G115" s="7" t="str">
        <f>VLOOKUP(F115,Справочник!$D$2:$E$119,2,FALSE)</f>
        <v>Каримов Дилшодчон Зафарчонович</v>
      </c>
      <c r="H115" s="2" t="s">
        <v>90</v>
      </c>
      <c r="I115" s="7" t="str">
        <f>VLOOKUP(H115,Справочник!$H$2:$I$164,2,FALSE)</f>
        <v>Далерон</v>
      </c>
    </row>
    <row r="116" spans="1:9" ht="34.049999999999997" customHeight="1" x14ac:dyDescent="0.3">
      <c r="A116" s="5">
        <v>115</v>
      </c>
      <c r="B116" s="5" t="s">
        <v>47</v>
      </c>
      <c r="C116" s="5" t="str">
        <f>VLOOKUP(B116,Справочник!$A$2:$B$23,2,FALSE)</f>
        <v>Отдел маркетинга</v>
      </c>
      <c r="D116" s="5" t="s">
        <v>49</v>
      </c>
      <c r="E116" s="5" t="str">
        <f>VLOOKUP(D116,Справочник!$D$2:$E$119,2,FALSE)</f>
        <v>Афанасьева Людмила Владимеровна</v>
      </c>
      <c r="F116" s="2" t="s">
        <v>35</v>
      </c>
      <c r="G116" s="5" t="str">
        <f>VLOOKUP(F116,Справочник!$D$2:$E$119,2,FALSE)</f>
        <v>Каримов Дилшодчон Зафарчонович</v>
      </c>
      <c r="H116" s="2" t="s">
        <v>83</v>
      </c>
      <c r="I116" s="5" t="str">
        <f>VLOOKUP(H116,Справочник!$H$2:$I$164,2,FALSE)</f>
        <v>Молочная радость (Афзал)</v>
      </c>
    </row>
    <row r="117" spans="1:9" ht="34.049999999999997" customHeight="1" x14ac:dyDescent="0.3">
      <c r="A117" s="6">
        <v>116</v>
      </c>
      <c r="B117" s="5" t="s">
        <v>47</v>
      </c>
      <c r="C117" s="5" t="str">
        <f>VLOOKUP(B117,Справочник!$A$2:$B$23,2,FALSE)</f>
        <v>Отдел маркетинга</v>
      </c>
      <c r="D117" s="5" t="s">
        <v>49</v>
      </c>
      <c r="E117" s="5" t="str">
        <f>VLOOKUP(D117,Справочник!$D$2:$E$119,2,FALSE)</f>
        <v>Афанасьева Людмила Владимеровна</v>
      </c>
      <c r="F117" s="2" t="s">
        <v>35</v>
      </c>
      <c r="G117" s="7" t="str">
        <f>VLOOKUP(F117,Справочник!$D$2:$E$119,2,FALSE)</f>
        <v>Каримов Дилшодчон Зафарчонович</v>
      </c>
      <c r="H117" s="2" t="s">
        <v>123</v>
      </c>
      <c r="I117" s="7" t="str">
        <f>VLOOKUP(H117,Справочник!$H$2:$I$164,2,FALSE)</f>
        <v>Орди Фатир</v>
      </c>
    </row>
    <row r="118" spans="1:9" ht="34.049999999999997" customHeight="1" x14ac:dyDescent="0.3">
      <c r="A118" s="5">
        <v>117</v>
      </c>
      <c r="B118" s="5" t="s">
        <v>47</v>
      </c>
      <c r="C118" s="5" t="str">
        <f>VLOOKUP(B118,Справочник!$A$2:$B$23,2,FALSE)</f>
        <v>Отдел маркетинга</v>
      </c>
      <c r="D118" s="5" t="s">
        <v>49</v>
      </c>
      <c r="E118" s="5" t="str">
        <f>VLOOKUP(D118,Справочник!$D$2:$E$119,2,FALSE)</f>
        <v>Афанасьева Людмила Владимеровна</v>
      </c>
      <c r="F118" s="2" t="s">
        <v>35</v>
      </c>
      <c r="G118" s="5" t="str">
        <f>VLOOKUP(F118,Справочник!$D$2:$E$119,2,FALSE)</f>
        <v>Каримов Дилшодчон Зафарчонович</v>
      </c>
      <c r="H118" s="2" t="s">
        <v>100</v>
      </c>
      <c r="I118" s="5" t="str">
        <f>VLOOKUP(H118,Справочник!$H$2:$I$164,2,FALSE)</f>
        <v>Файзи Расул</v>
      </c>
    </row>
    <row r="119" spans="1:9" ht="19.95" customHeight="1" x14ac:dyDescent="0.3">
      <c r="A119" s="6">
        <v>118</v>
      </c>
      <c r="B119" s="5" t="s">
        <v>50</v>
      </c>
      <c r="C119" s="5" t="str">
        <f>VLOOKUP(B119,Справочник!$A$2:$B$23,2,FALSE)</f>
        <v>Продажа комбикорм</v>
      </c>
      <c r="D119" s="5" t="s">
        <v>52</v>
      </c>
      <c r="E119" s="5" t="str">
        <f>VLOOKUP(D119,Справочник!$D$2:$E$119,2,FALSE)</f>
        <v>Рахмонов Умедчон Турсунбоевич</v>
      </c>
      <c r="F119" s="2" t="s">
        <v>21</v>
      </c>
      <c r="G119" s="7" t="str">
        <f>VLOOKUP(F119,Справочник!$D$2:$E$119,2,FALSE)</f>
        <v>Кодиров Камолчон Насимчонович</v>
      </c>
      <c r="H119" s="2" t="s">
        <v>168</v>
      </c>
      <c r="I119" s="7" t="str">
        <f>VLOOKUP(H119,Справочник!$H$2:$I$164,2,FALSE)</f>
        <v>Амина-К</v>
      </c>
    </row>
    <row r="120" spans="1:9" ht="19.95" customHeight="1" x14ac:dyDescent="0.3">
      <c r="A120" s="5">
        <v>119</v>
      </c>
      <c r="B120" s="5" t="s">
        <v>50</v>
      </c>
      <c r="C120" s="5" t="str">
        <f>VLOOKUP(B120,Справочник!$A$2:$B$23,2,FALSE)</f>
        <v>Продажа комбикорм</v>
      </c>
      <c r="D120" s="5" t="s">
        <v>52</v>
      </c>
      <c r="E120" s="5" t="str">
        <f>VLOOKUP(D120,Справочник!$D$2:$E$119,2,FALSE)</f>
        <v>Рахмонов Умедчон Турсунбоевич</v>
      </c>
      <c r="F120" s="2" t="s">
        <v>21</v>
      </c>
      <c r="G120" s="5" t="str">
        <f>VLOOKUP(F120,Справочник!$D$2:$E$119,2,FALSE)</f>
        <v>Кодиров Камолчон Насимчонович</v>
      </c>
      <c r="H120" s="2" t="s">
        <v>169</v>
      </c>
      <c r="I120" s="5" t="str">
        <f>VLOOKUP(H120,Справочник!$H$2:$I$164,2,FALSE)</f>
        <v>Асали</v>
      </c>
    </row>
    <row r="121" spans="1:9" ht="19.95" customHeight="1" x14ac:dyDescent="0.3">
      <c r="A121" s="6">
        <v>120</v>
      </c>
      <c r="B121" s="5" t="s">
        <v>50</v>
      </c>
      <c r="C121" s="5" t="str">
        <f>VLOOKUP(B121,Справочник!$A$2:$B$23,2,FALSE)</f>
        <v>Продажа комбикорм</v>
      </c>
      <c r="D121" s="5" t="s">
        <v>52</v>
      </c>
      <c r="E121" s="5" t="str">
        <f>VLOOKUP(D121,Справочник!$D$2:$E$119,2,FALSE)</f>
        <v>Рахмонов Умедчон Турсунбоевич</v>
      </c>
      <c r="F121" s="2" t="s">
        <v>21</v>
      </c>
      <c r="G121" s="7" t="str">
        <f>VLOOKUP(F121,Справочник!$D$2:$E$119,2,FALSE)</f>
        <v>Кодиров Камолчон Насимчонович</v>
      </c>
      <c r="H121" s="2" t="s">
        <v>88</v>
      </c>
      <c r="I121" s="7" t="str">
        <f>VLOOKUP(H121,Справочник!$H$2:$I$164,2,FALSE)</f>
        <v>Баракат</v>
      </c>
    </row>
    <row r="122" spans="1:9" ht="19.95" customHeight="1" x14ac:dyDescent="0.3">
      <c r="A122" s="5">
        <v>121</v>
      </c>
      <c r="B122" s="5" t="s">
        <v>50</v>
      </c>
      <c r="C122" s="5" t="str">
        <f>VLOOKUP(B122,Справочник!$A$2:$B$23,2,FALSE)</f>
        <v>Продажа комбикорм</v>
      </c>
      <c r="D122" s="5" t="s">
        <v>52</v>
      </c>
      <c r="E122" s="5" t="str">
        <f>VLOOKUP(D122,Справочник!$D$2:$E$119,2,FALSE)</f>
        <v>Рахмонов Умедчон Турсунбоевич</v>
      </c>
      <c r="F122" s="2" t="s">
        <v>21</v>
      </c>
      <c r="G122" s="5" t="str">
        <f>VLOOKUP(F122,Справочник!$D$2:$E$119,2,FALSE)</f>
        <v>Кодиров Камолчон Насимчонович</v>
      </c>
      <c r="H122" s="2" t="s">
        <v>90</v>
      </c>
      <c r="I122" s="5" t="str">
        <f>VLOOKUP(H122,Справочник!$H$2:$I$164,2,FALSE)</f>
        <v>Далерон</v>
      </c>
    </row>
    <row r="123" spans="1:9" ht="19.95" customHeight="1" x14ac:dyDescent="0.3">
      <c r="A123" s="6">
        <v>122</v>
      </c>
      <c r="B123" s="5" t="s">
        <v>50</v>
      </c>
      <c r="C123" s="5" t="str">
        <f>VLOOKUP(B123,Справочник!$A$2:$B$23,2,FALSE)</f>
        <v>Продажа комбикорм</v>
      </c>
      <c r="D123" s="5" t="s">
        <v>52</v>
      </c>
      <c r="E123" s="5" t="str">
        <f>VLOOKUP(D123,Справочник!$D$2:$E$119,2,FALSE)</f>
        <v>Рахмонов Умедчон Турсунбоевич</v>
      </c>
      <c r="F123" s="2" t="s">
        <v>21</v>
      </c>
      <c r="G123" s="7" t="str">
        <f>VLOOKUP(F123,Справочник!$D$2:$E$119,2,FALSE)</f>
        <v>Кодиров Камолчон Насимчонович</v>
      </c>
      <c r="H123" s="2" t="s">
        <v>170</v>
      </c>
      <c r="I123" s="7" t="str">
        <f>VLOOKUP(H123,Справочник!$H$2:$I$164,2,FALSE)</f>
        <v>Донаи Босифат</v>
      </c>
    </row>
    <row r="124" spans="1:9" ht="19.95" customHeight="1" x14ac:dyDescent="0.3">
      <c r="A124" s="5">
        <v>123</v>
      </c>
      <c r="B124" s="5" t="s">
        <v>50</v>
      </c>
      <c r="C124" s="5" t="str">
        <f>VLOOKUP(B124,Справочник!$A$2:$B$23,2,FALSE)</f>
        <v>Продажа комбикорм</v>
      </c>
      <c r="D124" s="5" t="s">
        <v>52</v>
      </c>
      <c r="E124" s="5" t="str">
        <f>VLOOKUP(D124,Справочник!$D$2:$E$119,2,FALSE)</f>
        <v>Рахмонов Умедчон Турсунбоевич</v>
      </c>
      <c r="F124" s="2" t="s">
        <v>21</v>
      </c>
      <c r="G124" s="5" t="str">
        <f>VLOOKUP(F124,Справочник!$D$2:$E$119,2,FALSE)</f>
        <v>Кодиров Камолчон Насимчонович</v>
      </c>
      <c r="H124" s="2" t="s">
        <v>171</v>
      </c>
      <c r="I124" s="5" t="str">
        <f>VLOOKUP(H124,Справочник!$H$2:$I$164,2,FALSE)</f>
        <v>Зикр</v>
      </c>
    </row>
    <row r="125" spans="1:9" ht="19.95" customHeight="1" x14ac:dyDescent="0.3">
      <c r="A125" s="6">
        <v>124</v>
      </c>
      <c r="B125" s="5" t="s">
        <v>50</v>
      </c>
      <c r="C125" s="5" t="str">
        <f>VLOOKUP(B125,Справочник!$A$2:$B$23,2,FALSE)</f>
        <v>Продажа комбикорм</v>
      </c>
      <c r="D125" s="5" t="s">
        <v>52</v>
      </c>
      <c r="E125" s="5" t="str">
        <f>VLOOKUP(D125,Справочник!$D$2:$E$119,2,FALSE)</f>
        <v>Рахмонов Умедчон Турсунбоевич</v>
      </c>
      <c r="F125" s="2" t="s">
        <v>21</v>
      </c>
      <c r="G125" s="7" t="str">
        <f>VLOOKUP(F125,Справочник!$D$2:$E$119,2,FALSE)</f>
        <v>Кодиров Камолчон Насимчонович</v>
      </c>
      <c r="H125" s="2" t="s">
        <v>172</v>
      </c>
      <c r="I125" s="7" t="str">
        <f>VLOOKUP(H125,Справочник!$H$2:$I$164,2,FALSE)</f>
        <v>Кавсар</v>
      </c>
    </row>
    <row r="126" spans="1:9" ht="19.95" customHeight="1" x14ac:dyDescent="0.3">
      <c r="A126" s="5">
        <v>125</v>
      </c>
      <c r="B126" s="5" t="s">
        <v>50</v>
      </c>
      <c r="C126" s="5" t="str">
        <f>VLOOKUP(B126,Справочник!$A$2:$B$23,2,FALSE)</f>
        <v>Продажа комбикорм</v>
      </c>
      <c r="D126" s="5" t="s">
        <v>52</v>
      </c>
      <c r="E126" s="5" t="str">
        <f>VLOOKUP(D126,Справочник!$D$2:$E$119,2,FALSE)</f>
        <v>Рахмонов Умедчон Турсунбоевич</v>
      </c>
      <c r="F126" s="2" t="s">
        <v>21</v>
      </c>
      <c r="G126" s="5" t="str">
        <f>VLOOKUP(F126,Справочник!$D$2:$E$119,2,FALSE)</f>
        <v>Кодиров Камолчон Насимчонович</v>
      </c>
      <c r="H126" s="2" t="s">
        <v>173</v>
      </c>
      <c r="I126" s="5" t="str">
        <f>VLOOKUP(H126,Справочник!$H$2:$I$164,2,FALSE)</f>
        <v>Мармари (Душанбе)</v>
      </c>
    </row>
    <row r="127" spans="1:9" ht="19.95" customHeight="1" x14ac:dyDescent="0.3">
      <c r="A127" s="6">
        <v>126</v>
      </c>
      <c r="B127" s="5" t="s">
        <v>50</v>
      </c>
      <c r="C127" s="5" t="str">
        <f>VLOOKUP(B127,Справочник!$A$2:$B$23,2,FALSE)</f>
        <v>Продажа комбикорм</v>
      </c>
      <c r="D127" s="5" t="s">
        <v>52</v>
      </c>
      <c r="E127" s="5" t="str">
        <f>VLOOKUP(D127,Справочник!$D$2:$E$119,2,FALSE)</f>
        <v>Рахмонов Умедчон Турсунбоевич</v>
      </c>
      <c r="F127" s="2" t="s">
        <v>21</v>
      </c>
      <c r="G127" s="7" t="str">
        <f>VLOOKUP(F127,Справочник!$D$2:$E$119,2,FALSE)</f>
        <v>Кодиров Камолчон Насимчонович</v>
      </c>
      <c r="H127" s="2" t="s">
        <v>174</v>
      </c>
      <c r="I127" s="7" t="str">
        <f>VLOOKUP(H127,Справочник!$H$2:$I$164,2,FALSE)</f>
        <v>Олтин Дон</v>
      </c>
    </row>
    <row r="128" spans="1:9" ht="19.95" customHeight="1" x14ac:dyDescent="0.3">
      <c r="A128" s="5">
        <v>127</v>
      </c>
      <c r="B128" s="5" t="s">
        <v>50</v>
      </c>
      <c r="C128" s="5" t="str">
        <f>VLOOKUP(B128,Справочник!$A$2:$B$23,2,FALSE)</f>
        <v>Продажа комбикорм</v>
      </c>
      <c r="D128" s="5" t="s">
        <v>52</v>
      </c>
      <c r="E128" s="5" t="str">
        <f>VLOOKUP(D128,Справочник!$D$2:$E$119,2,FALSE)</f>
        <v>Рахмонов Умедчон Турсунбоевич</v>
      </c>
      <c r="F128" s="2" t="s">
        <v>21</v>
      </c>
      <c r="G128" s="5" t="str">
        <f>VLOOKUP(F128,Справочник!$D$2:$E$119,2,FALSE)</f>
        <v>Кодиров Камолчон Насимчонович</v>
      </c>
      <c r="H128" s="2" t="s">
        <v>175</v>
      </c>
      <c r="I128" s="5" t="str">
        <f>VLOOKUP(H128,Справочник!$H$2:$I$164,2,FALSE)</f>
        <v>Самекс</v>
      </c>
    </row>
    <row r="129" spans="1:9" ht="19.95" customHeight="1" x14ac:dyDescent="0.3">
      <c r="A129" s="6">
        <v>128</v>
      </c>
      <c r="B129" s="5" t="s">
        <v>50</v>
      </c>
      <c r="C129" s="5" t="str">
        <f>VLOOKUP(B129,Справочник!$A$2:$B$23,2,FALSE)</f>
        <v>Продажа комбикорм</v>
      </c>
      <c r="D129" s="5" t="s">
        <v>52</v>
      </c>
      <c r="E129" s="5" t="str">
        <f>VLOOKUP(D129,Справочник!$D$2:$E$119,2,FALSE)</f>
        <v>Рахмонов Умедчон Турсунбоевич</v>
      </c>
      <c r="F129" s="2" t="s">
        <v>21</v>
      </c>
      <c r="G129" s="7" t="str">
        <f>VLOOKUP(F129,Справочник!$D$2:$E$119,2,FALSE)</f>
        <v>Кодиров Камолчон Насимчонович</v>
      </c>
      <c r="H129" s="2" t="s">
        <v>176</v>
      </c>
      <c r="I129" s="7" t="str">
        <f>VLOOKUP(H129,Справочник!$H$2:$I$164,2,FALSE)</f>
        <v>Фатир</v>
      </c>
    </row>
    <row r="130" spans="1:9" ht="19.95" customHeight="1" x14ac:dyDescent="0.3">
      <c r="A130" s="5">
        <v>129</v>
      </c>
      <c r="B130" s="5" t="s">
        <v>50</v>
      </c>
      <c r="C130" s="5" t="str">
        <f>VLOOKUP(B130,Справочник!$A$2:$B$23,2,FALSE)</f>
        <v>Продажа комбикорм</v>
      </c>
      <c r="D130" s="5" t="s">
        <v>52</v>
      </c>
      <c r="E130" s="5" t="str">
        <f>VLOOKUP(D130,Справочник!$D$2:$E$119,2,FALSE)</f>
        <v>Рахмонов Умедчон Турсунбоевич</v>
      </c>
      <c r="F130" s="2" t="s">
        <v>21</v>
      </c>
      <c r="G130" s="5" t="str">
        <f>VLOOKUP(F130,Справочник!$D$2:$E$119,2,FALSE)</f>
        <v>Кодиров Камолчон Насимчонович</v>
      </c>
      <c r="H130" s="2" t="s">
        <v>124</v>
      </c>
      <c r="I130" s="5" t="str">
        <f>VLOOKUP(H130,Справочник!$H$2:$I$164,2,FALSE)</f>
        <v>Чучаи Байзо</v>
      </c>
    </row>
    <row r="131" spans="1:9" ht="19.95" customHeight="1" x14ac:dyDescent="0.3">
      <c r="A131" s="6">
        <v>130</v>
      </c>
      <c r="B131" s="5" t="s">
        <v>50</v>
      </c>
      <c r="C131" s="5" t="str">
        <f>VLOOKUP(B131,Справочник!$A$2:$B$23,2,FALSE)</f>
        <v>Продажа комбикорм</v>
      </c>
      <c r="D131" s="5" t="s">
        <v>52</v>
      </c>
      <c r="E131" s="5" t="str">
        <f>VLOOKUP(D131,Справочник!$D$2:$E$119,2,FALSE)</f>
        <v>Рахмонов Умедчон Турсунбоевич</v>
      </c>
      <c r="F131" s="2" t="s">
        <v>21</v>
      </c>
      <c r="G131" s="7" t="str">
        <f>VLOOKUP(F131,Справочник!$D$2:$E$119,2,FALSE)</f>
        <v>Кодиров Камолчон Насимчонович</v>
      </c>
      <c r="H131" s="2" t="s">
        <v>177</v>
      </c>
      <c r="I131" s="7" t="str">
        <f>VLOOKUP(H131,Справочник!$H$2:$I$164,2,FALSE)</f>
        <v>Шафран (Душанбе)</v>
      </c>
    </row>
    <row r="132" spans="1:9" ht="19.95" customHeight="1" x14ac:dyDescent="0.3">
      <c r="A132" s="5">
        <v>131</v>
      </c>
      <c r="B132" s="5" t="s">
        <v>50</v>
      </c>
      <c r="C132" s="5" t="str">
        <f>VLOOKUP(B132,Справочник!$A$2:$B$23,2,FALSE)</f>
        <v>Продажа комбикорм</v>
      </c>
      <c r="D132" s="5" t="s">
        <v>52</v>
      </c>
      <c r="E132" s="5" t="str">
        <f>VLOOKUP(D132,Справочник!$D$2:$E$119,2,FALSE)</f>
        <v>Рахмонов Умедчон Турсунбоевич</v>
      </c>
      <c r="F132" s="2" t="s">
        <v>21</v>
      </c>
      <c r="G132" s="5" t="str">
        <f>VLOOKUP(F132,Справочник!$D$2:$E$119,2,FALSE)</f>
        <v>Кодиров Камолчон Насимчонович</v>
      </c>
      <c r="H132" s="2" t="s">
        <v>178</v>
      </c>
      <c r="I132" s="5" t="str">
        <f>VLOOKUP(H132,Справочник!$H$2:$I$164,2,FALSE)</f>
        <v>NNP</v>
      </c>
    </row>
    <row r="133" spans="1:9" ht="19.95" customHeight="1" x14ac:dyDescent="0.3">
      <c r="A133" s="6">
        <v>132</v>
      </c>
      <c r="B133" s="5" t="s">
        <v>53</v>
      </c>
      <c r="C133" s="5" t="str">
        <f>VLOOKUP(B133,Справочник!$A$2:$B$23,2,FALSE)</f>
        <v>Проектный офис</v>
      </c>
      <c r="D133" s="5" t="s">
        <v>55</v>
      </c>
      <c r="E133" s="5" t="str">
        <f>VLOOKUP(D133,Справочник!$D$2:$E$119,2,FALSE)</f>
        <v>Арипов Махсуд Махмудович</v>
      </c>
      <c r="F133" s="2" t="s">
        <v>35</v>
      </c>
      <c r="G133" s="7" t="str">
        <f>VLOOKUP(F133,Справочник!$D$2:$E$119,2,FALSE)</f>
        <v>Каримов Дилшодчон Зафарчонович</v>
      </c>
      <c r="H133" s="2" t="s">
        <v>144</v>
      </c>
      <c r="I133" s="7" t="str">
        <f>VLOOKUP(H133,Справочник!$H$2:$I$164,2,FALSE)</f>
        <v>Банк Эсхата</v>
      </c>
    </row>
    <row r="134" spans="1:9" ht="19.95" customHeight="1" x14ac:dyDescent="0.3">
      <c r="A134" s="5">
        <v>133</v>
      </c>
      <c r="B134" s="5" t="s">
        <v>53</v>
      </c>
      <c r="C134" s="5" t="str">
        <f>VLOOKUP(B134,Справочник!$A$2:$B$23,2,FALSE)</f>
        <v>Проектный офис</v>
      </c>
      <c r="D134" s="5" t="s">
        <v>55</v>
      </c>
      <c r="E134" s="5" t="str">
        <f>VLOOKUP(D134,Справочник!$D$2:$E$119,2,FALSE)</f>
        <v>Арипов Махсуд Махмудович</v>
      </c>
      <c r="F134" s="2" t="s">
        <v>35</v>
      </c>
      <c r="G134" s="5" t="str">
        <f>VLOOKUP(F134,Справочник!$D$2:$E$119,2,FALSE)</f>
        <v>Каримов Дилшодчон Зафарчонович</v>
      </c>
      <c r="H134" s="2" t="s">
        <v>179</v>
      </c>
      <c r="I134" s="5" t="str">
        <f>VLOOKUP(H134,Справочник!$H$2:$I$164,2,FALSE)</f>
        <v>Группа компаний "Амид"</v>
      </c>
    </row>
    <row r="135" spans="1:9" ht="19.95" customHeight="1" x14ac:dyDescent="0.3">
      <c r="A135" s="6">
        <v>134</v>
      </c>
      <c r="B135" s="5" t="s">
        <v>53</v>
      </c>
      <c r="C135" s="5" t="str">
        <f>VLOOKUP(B135,Справочник!$A$2:$B$23,2,FALSE)</f>
        <v>Проектный офис</v>
      </c>
      <c r="D135" s="5" t="s">
        <v>55</v>
      </c>
      <c r="E135" s="5" t="str">
        <f>VLOOKUP(D135,Справочник!$D$2:$E$119,2,FALSE)</f>
        <v>Арипов Махсуд Махмудович</v>
      </c>
      <c r="F135" s="2" t="s">
        <v>35</v>
      </c>
      <c r="G135" s="7" t="str">
        <f>VLOOKUP(F135,Справочник!$D$2:$E$119,2,FALSE)</f>
        <v>Каримов Дилшодчон Зафарчонович</v>
      </c>
      <c r="H135" s="2" t="s">
        <v>180</v>
      </c>
      <c r="I135" s="7" t="str">
        <f>VLOOKUP(H135,Справочник!$H$2:$I$164,2,FALSE)</f>
        <v>НПО "Анти"</v>
      </c>
    </row>
    <row r="136" spans="1:9" ht="19.95" customHeight="1" x14ac:dyDescent="0.3">
      <c r="A136" s="5">
        <v>135</v>
      </c>
      <c r="B136" s="5" t="s">
        <v>53</v>
      </c>
      <c r="C136" s="5" t="str">
        <f>VLOOKUP(B136,Справочник!$A$2:$B$23,2,FALSE)</f>
        <v>Проектный офис</v>
      </c>
      <c r="D136" s="5" t="s">
        <v>55</v>
      </c>
      <c r="E136" s="5" t="str">
        <f>VLOOKUP(D136,Справочник!$D$2:$E$119,2,FALSE)</f>
        <v>Арипов Махсуд Махмудович</v>
      </c>
      <c r="F136" s="2" t="s">
        <v>35</v>
      </c>
      <c r="G136" s="5" t="str">
        <f>VLOOKUP(F136,Справочник!$D$2:$E$119,2,FALSE)</f>
        <v>Каримов Дилшодчон Зафарчонович</v>
      </c>
      <c r="H136" s="2" t="s">
        <v>181</v>
      </c>
      <c r="I136" s="5" t="str">
        <f>VLOOKUP(H136,Справочник!$H$2:$I$164,2,FALSE)</f>
        <v>НПО "Мир"</v>
      </c>
    </row>
    <row r="137" spans="1:9" ht="19.95" customHeight="1" x14ac:dyDescent="0.3">
      <c r="A137" s="6">
        <v>136</v>
      </c>
      <c r="B137" s="5" t="s">
        <v>53</v>
      </c>
      <c r="C137" s="5" t="str">
        <f>VLOOKUP(B137,Справочник!$A$2:$B$23,2,FALSE)</f>
        <v>Проектный офис</v>
      </c>
      <c r="D137" s="5" t="s">
        <v>55</v>
      </c>
      <c r="E137" s="5" t="str">
        <f>VLOOKUP(D137,Справочник!$D$2:$E$119,2,FALSE)</f>
        <v>Арипов Махсуд Махмудович</v>
      </c>
      <c r="F137" s="2" t="s">
        <v>35</v>
      </c>
      <c r="G137" s="7" t="str">
        <f>VLOOKUP(F137,Справочник!$D$2:$E$119,2,FALSE)</f>
        <v>Каримов Дилшодчон Зафарчонович</v>
      </c>
      <c r="H137" s="2" t="s">
        <v>182</v>
      </c>
      <c r="I137" s="7" t="str">
        <f>VLOOKUP(H137,Справочник!$H$2:$I$164,2,FALSE)</f>
        <v>НПО "Човид"</v>
      </c>
    </row>
    <row r="138" spans="1:9" ht="19.95" customHeight="1" x14ac:dyDescent="0.3">
      <c r="A138" s="5">
        <v>137</v>
      </c>
      <c r="B138" s="5" t="s">
        <v>53</v>
      </c>
      <c r="C138" s="5" t="str">
        <f>VLOOKUP(B138,Справочник!$A$2:$B$23,2,FALSE)</f>
        <v>Проектный офис</v>
      </c>
      <c r="D138" s="5" t="s">
        <v>55</v>
      </c>
      <c r="E138" s="5" t="str">
        <f>VLOOKUP(D138,Справочник!$D$2:$E$119,2,FALSE)</f>
        <v>Арипов Махсуд Махмудович</v>
      </c>
      <c r="F138" s="2" t="s">
        <v>35</v>
      </c>
      <c r="G138" s="5" t="str">
        <f>VLOOKUP(F138,Справочник!$D$2:$E$119,2,FALSE)</f>
        <v>Каримов Дилшодчон Зафарчонович</v>
      </c>
      <c r="H138" s="2" t="s">
        <v>183</v>
      </c>
      <c r="I138" s="5" t="str">
        <f>VLOOKUP(H138,Справочник!$H$2:$I$164,2,FALSE)</f>
        <v>Программа развития ООН</v>
      </c>
    </row>
    <row r="139" spans="1:9" ht="19.95" customHeight="1" x14ac:dyDescent="0.3">
      <c r="A139" s="6">
        <v>138</v>
      </c>
      <c r="B139" s="5" t="s">
        <v>53</v>
      </c>
      <c r="C139" s="5" t="str">
        <f>VLOOKUP(B139,Справочник!$A$2:$B$23,2,FALSE)</f>
        <v>Проектный офис</v>
      </c>
      <c r="D139" s="5" t="s">
        <v>55</v>
      </c>
      <c r="E139" s="5" t="str">
        <f>VLOOKUP(D139,Справочник!$D$2:$E$119,2,FALSE)</f>
        <v>Арипов Махсуд Махмудович</v>
      </c>
      <c r="F139" s="2" t="s">
        <v>35</v>
      </c>
      <c r="G139" s="7" t="str">
        <f>VLOOKUP(F139,Справочник!$D$2:$E$119,2,FALSE)</f>
        <v>Каримов Дилшодчон Зафарчонович</v>
      </c>
      <c r="H139" s="2" t="s">
        <v>184</v>
      </c>
      <c r="I139" s="7" t="str">
        <f>VLOOKUP(H139,Справочник!$H$2:$I$164,2,FALSE)</f>
        <v>Продовольствення программа ООН</v>
      </c>
    </row>
    <row r="140" spans="1:9" ht="19.95" customHeight="1" x14ac:dyDescent="0.3">
      <c r="A140" s="5">
        <v>139</v>
      </c>
      <c r="B140" s="5" t="s">
        <v>56</v>
      </c>
      <c r="C140" s="5" t="str">
        <f>VLOOKUP(B140,Справочник!$A$2:$B$23,2,FALSE)</f>
        <v>Производства комбикормов</v>
      </c>
      <c r="D140" s="5" t="s">
        <v>58</v>
      </c>
      <c r="E140" s="5" t="str">
        <f>VLOOKUP(D140,Справочник!$D$2:$E$119,2,FALSE)</f>
        <v>Чураев Равшан Абдухакимович</v>
      </c>
      <c r="F140" s="2" t="s">
        <v>17</v>
      </c>
      <c r="G140" s="5" t="str">
        <f>VLOOKUP(F140,Справочник!$D$2:$E$119,2,FALSE)</f>
        <v>Боев Иброхимчон Далерович</v>
      </c>
      <c r="H140" s="2" t="s">
        <v>169</v>
      </c>
      <c r="I140" s="5" t="str">
        <f>VLOOKUP(H140,Справочник!$H$2:$I$164,2,FALSE)</f>
        <v>Асали</v>
      </c>
    </row>
    <row r="141" spans="1:9" ht="19.95" customHeight="1" x14ac:dyDescent="0.3">
      <c r="A141" s="6">
        <v>140</v>
      </c>
      <c r="B141" s="5" t="s">
        <v>56</v>
      </c>
      <c r="C141" s="5" t="str">
        <f>VLOOKUP(B141,Справочник!$A$2:$B$23,2,FALSE)</f>
        <v>Производства комбикормов</v>
      </c>
      <c r="D141" s="5" t="s">
        <v>58</v>
      </c>
      <c r="E141" s="5" t="str">
        <f>VLOOKUP(D141,Справочник!$D$2:$E$119,2,FALSE)</f>
        <v>Чураев Равшан Абдухакимович</v>
      </c>
      <c r="F141" s="2" t="s">
        <v>17</v>
      </c>
      <c r="G141" s="7" t="str">
        <f>VLOOKUP(F141,Справочник!$D$2:$E$119,2,FALSE)</f>
        <v>Боев Иброхимчон Далерович</v>
      </c>
      <c r="H141" s="2" t="s">
        <v>90</v>
      </c>
      <c r="I141" s="7" t="str">
        <f>VLOOKUP(H141,Справочник!$H$2:$I$164,2,FALSE)</f>
        <v>Далерон</v>
      </c>
    </row>
    <row r="142" spans="1:9" ht="19.95" customHeight="1" x14ac:dyDescent="0.3">
      <c r="A142" s="5">
        <v>141</v>
      </c>
      <c r="B142" s="5" t="s">
        <v>56</v>
      </c>
      <c r="C142" s="5" t="str">
        <f>VLOOKUP(B142,Справочник!$A$2:$B$23,2,FALSE)</f>
        <v>Производства комбикормов</v>
      </c>
      <c r="D142" s="5" t="s">
        <v>58</v>
      </c>
      <c r="E142" s="5" t="str">
        <f>VLOOKUP(D142,Справочник!$D$2:$E$119,2,FALSE)</f>
        <v>Чураев Равшан Абдухакимович</v>
      </c>
      <c r="F142" s="2" t="s">
        <v>17</v>
      </c>
      <c r="G142" s="5" t="str">
        <f>VLOOKUP(F142,Справочник!$D$2:$E$119,2,FALSE)</f>
        <v>Боев Иброхимчон Далерович</v>
      </c>
      <c r="H142" s="2" t="s">
        <v>171</v>
      </c>
      <c r="I142" s="5" t="str">
        <f>VLOOKUP(H142,Справочник!$H$2:$I$164,2,FALSE)</f>
        <v>Зикр</v>
      </c>
    </row>
    <row r="143" spans="1:9" ht="19.95" customHeight="1" x14ac:dyDescent="0.3">
      <c r="A143" s="6">
        <v>142</v>
      </c>
      <c r="B143" s="5" t="s">
        <v>56</v>
      </c>
      <c r="C143" s="5" t="str">
        <f>VLOOKUP(B143,Справочник!$A$2:$B$23,2,FALSE)</f>
        <v>Производства комбикормов</v>
      </c>
      <c r="D143" s="5" t="s">
        <v>58</v>
      </c>
      <c r="E143" s="5" t="str">
        <f>VLOOKUP(D143,Справочник!$D$2:$E$119,2,FALSE)</f>
        <v>Чураев Равшан Абдухакимович</v>
      </c>
      <c r="F143" s="2" t="s">
        <v>17</v>
      </c>
      <c r="G143" s="7" t="str">
        <f>VLOOKUP(F143,Справочник!$D$2:$E$119,2,FALSE)</f>
        <v>Боев Иброхимчон Далерович</v>
      </c>
      <c r="H143" s="2" t="s">
        <v>172</v>
      </c>
      <c r="I143" s="7" t="str">
        <f>VLOOKUP(H143,Справочник!$H$2:$I$164,2,FALSE)</f>
        <v>Кавсар</v>
      </c>
    </row>
    <row r="144" spans="1:9" ht="34.049999999999997" customHeight="1" x14ac:dyDescent="0.3">
      <c r="A144" s="5">
        <v>143</v>
      </c>
      <c r="B144" s="5" t="s">
        <v>59</v>
      </c>
      <c r="C144" s="5" t="str">
        <f>VLOOKUP(B144,Справочник!$A$2:$B$23,2,FALSE)</f>
        <v>Производства Муки</v>
      </c>
      <c r="D144" s="5" t="s">
        <v>61</v>
      </c>
      <c r="E144" s="5" t="str">
        <f>VLOOKUP(D144,Справочник!$D$2:$E$119,2,FALSE)</f>
        <v>Искандаров Хайрулло Абдуллоевич</v>
      </c>
      <c r="F144" s="2" t="s">
        <v>28</v>
      </c>
      <c r="G144" s="5" t="str">
        <f>VLOOKUP(F144,Справочник!$D$2:$E$119,2,FALSE)</f>
        <v>Солиев Умедчон Абдучалолович</v>
      </c>
      <c r="H144" s="2" t="s">
        <v>128</v>
      </c>
      <c r="I144" s="5" t="str">
        <f>VLOOKUP(H144,Справочник!$H$2:$I$164,2,FALSE)</f>
        <v>ҶДММ "Азамат Агро"</v>
      </c>
    </row>
    <row r="145" spans="1:9" ht="34.049999999999997" customHeight="1" x14ac:dyDescent="0.3">
      <c r="A145" s="6">
        <v>144</v>
      </c>
      <c r="B145" s="5" t="s">
        <v>59</v>
      </c>
      <c r="C145" s="5" t="str">
        <f>VLOOKUP(B145,Справочник!$A$2:$B$23,2,FALSE)</f>
        <v>Производства Муки</v>
      </c>
      <c r="D145" s="5" t="s">
        <v>61</v>
      </c>
      <c r="E145" s="5" t="str">
        <f>VLOOKUP(D145,Справочник!$D$2:$E$119,2,FALSE)</f>
        <v>Искандаров Хайрулло Абдуллоевич</v>
      </c>
      <c r="F145" s="2" t="s">
        <v>28</v>
      </c>
      <c r="G145" s="7" t="str">
        <f>VLOOKUP(F145,Справочник!$D$2:$E$119,2,FALSE)</f>
        <v>Солиев Умедчон Абдучалолович</v>
      </c>
      <c r="H145" s="2" t="s">
        <v>129</v>
      </c>
      <c r="I145" s="7" t="str">
        <f>VLOOKUP(H145,Справочник!$H$2:$I$164,2,FALSE)</f>
        <v>ҶДММ "Азимов А."</v>
      </c>
    </row>
    <row r="146" spans="1:9" ht="34.049999999999997" customHeight="1" x14ac:dyDescent="0.3">
      <c r="A146" s="5">
        <v>145</v>
      </c>
      <c r="B146" s="5" t="s">
        <v>59</v>
      </c>
      <c r="C146" s="5" t="str">
        <f>VLOOKUP(B146,Справочник!$A$2:$B$23,2,FALSE)</f>
        <v>Производства Муки</v>
      </c>
      <c r="D146" s="5" t="s">
        <v>61</v>
      </c>
      <c r="E146" s="5" t="str">
        <f>VLOOKUP(D146,Справочник!$D$2:$E$119,2,FALSE)</f>
        <v>Искандаров Хайрулло Абдуллоевич</v>
      </c>
      <c r="F146" s="2" t="s">
        <v>28</v>
      </c>
      <c r="G146" s="5" t="str">
        <f>VLOOKUP(F146,Справочник!$D$2:$E$119,2,FALSE)</f>
        <v>Солиев Умедчон Абдучалолович</v>
      </c>
      <c r="H146" s="2" t="s">
        <v>130</v>
      </c>
      <c r="I146" s="5" t="str">
        <f>VLOOKUP(H146,Справочник!$H$2:$I$164,2,FALSE)</f>
        <v>ҶДММ "Аркоим"</v>
      </c>
    </row>
    <row r="147" spans="1:9" ht="34.049999999999997" customHeight="1" x14ac:dyDescent="0.3">
      <c r="A147" s="6">
        <v>146</v>
      </c>
      <c r="B147" s="5" t="s">
        <v>59</v>
      </c>
      <c r="C147" s="5" t="str">
        <f>VLOOKUP(B147,Справочник!$A$2:$B$23,2,FALSE)</f>
        <v>Производства Муки</v>
      </c>
      <c r="D147" s="5" t="s">
        <v>61</v>
      </c>
      <c r="E147" s="5" t="str">
        <f>VLOOKUP(D147,Справочник!$D$2:$E$119,2,FALSE)</f>
        <v>Искандаров Хайрулло Абдуллоевич</v>
      </c>
      <c r="F147" s="2" t="s">
        <v>28</v>
      </c>
      <c r="G147" s="7" t="str">
        <f>VLOOKUP(F147,Справочник!$D$2:$E$119,2,FALSE)</f>
        <v>Солиев Умедчон Абдучалолович</v>
      </c>
      <c r="H147" s="2" t="s">
        <v>131</v>
      </c>
      <c r="I147" s="7" t="str">
        <f>VLOOKUP(H147,Справочник!$H$2:$I$164,2,FALSE)</f>
        <v>ҶДММ "Асали 1"</v>
      </c>
    </row>
    <row r="148" spans="1:9" ht="34.049999999999997" customHeight="1" x14ac:dyDescent="0.3">
      <c r="A148" s="5">
        <v>147</v>
      </c>
      <c r="B148" s="5" t="s">
        <v>59</v>
      </c>
      <c r="C148" s="5" t="str">
        <f>VLOOKUP(B148,Справочник!$A$2:$B$23,2,FALSE)</f>
        <v>Производства Муки</v>
      </c>
      <c r="D148" s="5" t="s">
        <v>61</v>
      </c>
      <c r="E148" s="5" t="str">
        <f>VLOOKUP(D148,Справочник!$D$2:$E$119,2,FALSE)</f>
        <v>Искандаров Хайрулло Абдуллоевич</v>
      </c>
      <c r="F148" s="2" t="s">
        <v>28</v>
      </c>
      <c r="G148" s="5" t="str">
        <f>VLOOKUP(F148,Справочник!$D$2:$E$119,2,FALSE)</f>
        <v>Солиев Умедчон Абдучалолович</v>
      </c>
      <c r="H148" s="2" t="s">
        <v>132</v>
      </c>
      <c r="I148" s="5" t="str">
        <f>VLOOKUP(H148,Справочник!$H$2:$I$164,2,FALSE)</f>
        <v>ҶДММ "Астана"</v>
      </c>
    </row>
    <row r="149" spans="1:9" ht="34.049999999999997" customHeight="1" x14ac:dyDescent="0.3">
      <c r="A149" s="6">
        <v>148</v>
      </c>
      <c r="B149" s="5" t="s">
        <v>59</v>
      </c>
      <c r="C149" s="5" t="str">
        <f>VLOOKUP(B149,Справочник!$A$2:$B$23,2,FALSE)</f>
        <v>Производства Муки</v>
      </c>
      <c r="D149" s="5" t="s">
        <v>61</v>
      </c>
      <c r="E149" s="5" t="str">
        <f>VLOOKUP(D149,Справочник!$D$2:$E$119,2,FALSE)</f>
        <v>Искандаров Хайрулло Абдуллоевич</v>
      </c>
      <c r="F149" s="2" t="s">
        <v>28</v>
      </c>
      <c r="G149" s="7" t="str">
        <f>VLOOKUP(F149,Справочник!$D$2:$E$119,2,FALSE)</f>
        <v>Солиев Умедчон Абдучалолович</v>
      </c>
      <c r="H149" s="2" t="s">
        <v>133</v>
      </c>
      <c r="I149" s="7" t="str">
        <f>VLOOKUP(H149,Справочник!$H$2:$I$164,2,FALSE)</f>
        <v>ҶДММ "АҶР"</v>
      </c>
    </row>
    <row r="150" spans="1:9" ht="34.049999999999997" customHeight="1" x14ac:dyDescent="0.3">
      <c r="A150" s="5">
        <v>149</v>
      </c>
      <c r="B150" s="5" t="s">
        <v>59</v>
      </c>
      <c r="C150" s="5" t="str">
        <f>VLOOKUP(B150,Справочник!$A$2:$B$23,2,FALSE)</f>
        <v>Производства Муки</v>
      </c>
      <c r="D150" s="5" t="s">
        <v>61</v>
      </c>
      <c r="E150" s="5" t="str">
        <f>VLOOKUP(D150,Справочник!$D$2:$E$119,2,FALSE)</f>
        <v>Искандаров Хайрулло Абдуллоевич</v>
      </c>
      <c r="F150" s="2" t="s">
        <v>28</v>
      </c>
      <c r="G150" s="5" t="str">
        <f>VLOOKUP(F150,Справочник!$D$2:$E$119,2,FALSE)</f>
        <v>Солиев Умедчон Абдучалолович</v>
      </c>
      <c r="H150" s="2" t="s">
        <v>134</v>
      </c>
      <c r="I150" s="5" t="str">
        <f>VLOOKUP(H150,Справочник!$H$2:$I$164,2,FALSE)</f>
        <v>ҶДММ "Гафури Суғд"</v>
      </c>
    </row>
    <row r="151" spans="1:9" ht="34.049999999999997" customHeight="1" x14ac:dyDescent="0.3">
      <c r="A151" s="6">
        <v>150</v>
      </c>
      <c r="B151" s="5" t="s">
        <v>59</v>
      </c>
      <c r="C151" s="5" t="str">
        <f>VLOOKUP(B151,Справочник!$A$2:$B$23,2,FALSE)</f>
        <v>Производства Муки</v>
      </c>
      <c r="D151" s="5" t="s">
        <v>61</v>
      </c>
      <c r="E151" s="5" t="str">
        <f>VLOOKUP(D151,Справочник!$D$2:$E$119,2,FALSE)</f>
        <v>Искандаров Хайрулло Абдуллоевич</v>
      </c>
      <c r="F151" s="2" t="s">
        <v>28</v>
      </c>
      <c r="G151" s="7" t="str">
        <f>VLOOKUP(F151,Справочник!$D$2:$E$119,2,FALSE)</f>
        <v>Солиев Умедчон Абдучалолович</v>
      </c>
      <c r="H151" s="2" t="s">
        <v>135</v>
      </c>
      <c r="I151" s="7" t="str">
        <f>VLOOKUP(H151,Справочник!$H$2:$I$164,2,FALSE)</f>
        <v>ҶДММ "Зерновая компания"</v>
      </c>
    </row>
    <row r="152" spans="1:9" ht="34.049999999999997" customHeight="1" x14ac:dyDescent="0.3">
      <c r="A152" s="5">
        <v>151</v>
      </c>
      <c r="B152" s="5" t="s">
        <v>59</v>
      </c>
      <c r="C152" s="5" t="str">
        <f>VLOOKUP(B152,Справочник!$A$2:$B$23,2,FALSE)</f>
        <v>Производства Муки</v>
      </c>
      <c r="D152" s="5" t="s">
        <v>61</v>
      </c>
      <c r="E152" s="5" t="str">
        <f>VLOOKUP(D152,Справочник!$D$2:$E$119,2,FALSE)</f>
        <v>Искандаров Хайрулло Абдуллоевич</v>
      </c>
      <c r="F152" s="2" t="s">
        <v>28</v>
      </c>
      <c r="G152" s="5" t="str">
        <f>VLOOKUP(F152,Справочник!$D$2:$E$119,2,FALSE)</f>
        <v>Солиев Умедчон Абдучалолович</v>
      </c>
      <c r="H152" s="2" t="s">
        <v>136</v>
      </c>
      <c r="I152" s="5" t="str">
        <f>VLOOKUP(H152,Справочник!$H$2:$I$164,2,FALSE)</f>
        <v>ҶДММ "Имкон Агро"</v>
      </c>
    </row>
    <row r="153" spans="1:9" ht="34.049999999999997" customHeight="1" x14ac:dyDescent="0.3">
      <c r="A153" s="6">
        <v>152</v>
      </c>
      <c r="B153" s="5" t="s">
        <v>59</v>
      </c>
      <c r="C153" s="5" t="str">
        <f>VLOOKUP(B153,Справочник!$A$2:$B$23,2,FALSE)</f>
        <v>Производства Муки</v>
      </c>
      <c r="D153" s="5" t="s">
        <v>61</v>
      </c>
      <c r="E153" s="5" t="str">
        <f>VLOOKUP(D153,Справочник!$D$2:$E$119,2,FALSE)</f>
        <v>Искандаров Хайрулло Абдуллоевич</v>
      </c>
      <c r="F153" s="2" t="s">
        <v>28</v>
      </c>
      <c r="G153" s="7" t="str">
        <f>VLOOKUP(F153,Справочник!$D$2:$E$119,2,FALSE)</f>
        <v>Солиев Умедчон Абдучалолович</v>
      </c>
      <c r="H153" s="2" t="s">
        <v>137</v>
      </c>
      <c r="I153" s="7" t="str">
        <f>VLOOKUP(H153,Справочник!$H$2:$I$164,2,FALSE)</f>
        <v>ҶДММ "Маҳсулотҳои Заррин"</v>
      </c>
    </row>
    <row r="154" spans="1:9" ht="34.049999999999997" customHeight="1" x14ac:dyDescent="0.3">
      <c r="A154" s="5">
        <v>153</v>
      </c>
      <c r="B154" s="5" t="s">
        <v>59</v>
      </c>
      <c r="C154" s="5" t="str">
        <f>VLOOKUP(B154,Справочник!$A$2:$B$23,2,FALSE)</f>
        <v>Производства Муки</v>
      </c>
      <c r="D154" s="5" t="s">
        <v>61</v>
      </c>
      <c r="E154" s="5" t="str">
        <f>VLOOKUP(D154,Справочник!$D$2:$E$119,2,FALSE)</f>
        <v>Искандаров Хайрулло Абдуллоевич</v>
      </c>
      <c r="F154" s="2" t="s">
        <v>28</v>
      </c>
      <c r="G154" s="5" t="str">
        <f>VLOOKUP(F154,Справочник!$D$2:$E$119,2,FALSE)</f>
        <v>Солиев Умедчон Абдучалолович</v>
      </c>
      <c r="H154" s="2" t="s">
        <v>138</v>
      </c>
      <c r="I154" s="5" t="str">
        <f>VLOOKUP(H154,Справочник!$H$2:$I$164,2,FALSE)</f>
        <v>ҶДММ "Олим Авезов"</v>
      </c>
    </row>
    <row r="155" spans="1:9" ht="34.049999999999997" customHeight="1" x14ac:dyDescent="0.3">
      <c r="A155" s="6">
        <v>154</v>
      </c>
      <c r="B155" s="5" t="s">
        <v>59</v>
      </c>
      <c r="C155" s="5" t="str">
        <f>VLOOKUP(B155,Справочник!$A$2:$B$23,2,FALSE)</f>
        <v>Производства Муки</v>
      </c>
      <c r="D155" s="5" t="s">
        <v>61</v>
      </c>
      <c r="E155" s="5" t="str">
        <f>VLOOKUP(D155,Справочник!$D$2:$E$119,2,FALSE)</f>
        <v>Искандаров Хайрулло Абдуллоевич</v>
      </c>
      <c r="F155" s="2" t="s">
        <v>28</v>
      </c>
      <c r="G155" s="7" t="str">
        <f>VLOOKUP(F155,Справочник!$D$2:$E$119,2,FALSE)</f>
        <v>Солиев Умедчон Абдучалолович</v>
      </c>
      <c r="H155" s="2" t="s">
        <v>139</v>
      </c>
      <c r="I155" s="7" t="str">
        <f>VLOOKUP(H155,Справочник!$H$2:$I$164,2,FALSE)</f>
        <v>ҶДММ "Орди кавсар"</v>
      </c>
    </row>
    <row r="156" spans="1:9" ht="34.049999999999997" customHeight="1" x14ac:dyDescent="0.3">
      <c r="A156" s="5">
        <v>155</v>
      </c>
      <c r="B156" s="5" t="s">
        <v>59</v>
      </c>
      <c r="C156" s="5" t="str">
        <f>VLOOKUP(B156,Справочник!$A$2:$B$23,2,FALSE)</f>
        <v>Производства Муки</v>
      </c>
      <c r="D156" s="5" t="s">
        <v>61</v>
      </c>
      <c r="E156" s="5" t="str">
        <f>VLOOKUP(D156,Справочник!$D$2:$E$119,2,FALSE)</f>
        <v>Искандаров Хайрулло Абдуллоевич</v>
      </c>
      <c r="F156" s="2" t="s">
        <v>28</v>
      </c>
      <c r="G156" s="5" t="str">
        <f>VLOOKUP(F156,Справочник!$D$2:$E$119,2,FALSE)</f>
        <v>Солиев Умедчон Абдучалолович</v>
      </c>
      <c r="H156" s="2" t="s">
        <v>84</v>
      </c>
      <c r="I156" s="5" t="str">
        <f>VLOOKUP(H156,Справочник!$H$2:$I$164,2,FALSE)</f>
        <v>ҶДММ "Орди Фатир"</v>
      </c>
    </row>
    <row r="157" spans="1:9" ht="34.049999999999997" customHeight="1" x14ac:dyDescent="0.3">
      <c r="A157" s="6">
        <v>156</v>
      </c>
      <c r="B157" s="5" t="s">
        <v>59</v>
      </c>
      <c r="C157" s="5" t="str">
        <f>VLOOKUP(B157,Справочник!$A$2:$B$23,2,FALSE)</f>
        <v>Производства Муки</v>
      </c>
      <c r="D157" s="5" t="s">
        <v>61</v>
      </c>
      <c r="E157" s="5" t="str">
        <f>VLOOKUP(D157,Справочник!$D$2:$E$119,2,FALSE)</f>
        <v>Искандаров Хайрулло Абдуллоевич</v>
      </c>
      <c r="F157" s="2" t="s">
        <v>28</v>
      </c>
      <c r="G157" s="7" t="str">
        <f>VLOOKUP(F157,Справочник!$D$2:$E$119,2,FALSE)</f>
        <v>Солиев Умедчон Абдучалолович</v>
      </c>
      <c r="H157" s="2" t="s">
        <v>140</v>
      </c>
      <c r="I157" s="7" t="str">
        <f>VLOOKUP(H157,Справочник!$H$2:$I$164,2,FALSE)</f>
        <v>ҶДММ "Ориён Мил"</v>
      </c>
    </row>
    <row r="158" spans="1:9" ht="34.049999999999997" customHeight="1" x14ac:dyDescent="0.3">
      <c r="A158" s="5">
        <v>157</v>
      </c>
      <c r="B158" s="5" t="s">
        <v>59</v>
      </c>
      <c r="C158" s="5" t="str">
        <f>VLOOKUP(B158,Справочник!$A$2:$B$23,2,FALSE)</f>
        <v>Производства Муки</v>
      </c>
      <c r="D158" s="5" t="s">
        <v>61</v>
      </c>
      <c r="E158" s="5" t="str">
        <f>VLOOKUP(D158,Справочник!$D$2:$E$119,2,FALSE)</f>
        <v>Искандаров Хайрулло Абдуллоевич</v>
      </c>
      <c r="F158" s="2" t="s">
        <v>28</v>
      </c>
      <c r="G158" s="5" t="str">
        <f>VLOOKUP(F158,Справочник!$D$2:$E$119,2,FALSE)</f>
        <v>Солиев Умедчон Абдучалолович</v>
      </c>
      <c r="H158" s="2" t="s">
        <v>85</v>
      </c>
      <c r="I158" s="5" t="str">
        <f>VLOOKUP(H158,Справочник!$H$2:$I$164,2,FALSE)</f>
        <v>ҶДММ "СеганҶ"</v>
      </c>
    </row>
    <row r="159" spans="1:9" ht="34.049999999999997" customHeight="1" x14ac:dyDescent="0.3">
      <c r="A159" s="6">
        <v>158</v>
      </c>
      <c r="B159" s="5" t="s">
        <v>59</v>
      </c>
      <c r="C159" s="5" t="str">
        <f>VLOOKUP(B159,Справочник!$A$2:$B$23,2,FALSE)</f>
        <v>Производства Муки</v>
      </c>
      <c r="D159" s="5" t="s">
        <v>61</v>
      </c>
      <c r="E159" s="5" t="str">
        <f>VLOOKUP(D159,Справочник!$D$2:$E$119,2,FALSE)</f>
        <v>Искандаров Хайрулло Абдуллоевич</v>
      </c>
      <c r="F159" s="2" t="s">
        <v>28</v>
      </c>
      <c r="G159" s="7" t="str">
        <f>VLOOKUP(F159,Справочник!$D$2:$E$119,2,FALSE)</f>
        <v>Солиев Умедчон Абдучалолович</v>
      </c>
      <c r="H159" s="2" t="s">
        <v>141</v>
      </c>
      <c r="I159" s="7" t="str">
        <f>VLOOKUP(H159,Справочник!$H$2:$I$164,2,FALSE)</f>
        <v>ҶДММ "ҳоҶи Юсуф"</v>
      </c>
    </row>
    <row r="160" spans="1:9" ht="19.95" customHeight="1" x14ac:dyDescent="0.3">
      <c r="A160" s="5">
        <v>159</v>
      </c>
      <c r="B160" s="5" t="s">
        <v>62</v>
      </c>
      <c r="C160" s="5" t="str">
        <f>VLOOKUP(B160,Справочник!$A$2:$B$23,2,FALSE)</f>
        <v>Производство ЖБИ</v>
      </c>
      <c r="D160" s="5" t="s">
        <v>64</v>
      </c>
      <c r="E160" s="5" t="str">
        <f>VLOOKUP(D160,Справочник!$D$2:$E$119,2,FALSE)</f>
        <v>Шарифов Саидхоча Мамадович</v>
      </c>
      <c r="F160" s="2" t="s">
        <v>43</v>
      </c>
      <c r="G160" s="5" t="str">
        <f>VLOOKUP(F160,Справочник!$D$2:$E$119,2,FALSE)</f>
        <v>Собиров Аличон Лахаевич</v>
      </c>
      <c r="H160" s="2" t="s">
        <v>185</v>
      </c>
      <c r="I160" s="5" t="str">
        <f>VLOOKUP(H160,Справочник!$H$2:$I$164,2,FALSE)</f>
        <v>Абдувохид 3 мкр</v>
      </c>
    </row>
    <row r="161" spans="1:9" ht="19.95" customHeight="1" x14ac:dyDescent="0.3">
      <c r="A161" s="6">
        <v>160</v>
      </c>
      <c r="B161" s="5" t="s">
        <v>62</v>
      </c>
      <c r="C161" s="5" t="str">
        <f>VLOOKUP(B161,Справочник!$A$2:$B$23,2,FALSE)</f>
        <v>Производство ЖБИ</v>
      </c>
      <c r="D161" s="5" t="s">
        <v>64</v>
      </c>
      <c r="E161" s="5" t="str">
        <f>VLOOKUP(D161,Справочник!$D$2:$E$119,2,FALSE)</f>
        <v>Шарифов Саидхоча Мамадович</v>
      </c>
      <c r="F161" s="2" t="s">
        <v>43</v>
      </c>
      <c r="G161" s="7" t="str">
        <f>VLOOKUP(F161,Справочник!$D$2:$E$119,2,FALSE)</f>
        <v>Собиров Аличон Лахаевич</v>
      </c>
      <c r="H161" s="2" t="s">
        <v>186</v>
      </c>
      <c r="I161" s="7" t="str">
        <f>VLOOKUP(H161,Справочник!$H$2:$I$164,2,FALSE)</f>
        <v>Абдукодир Бустон</v>
      </c>
    </row>
    <row r="162" spans="1:9" ht="19.95" customHeight="1" x14ac:dyDescent="0.3">
      <c r="A162" s="5">
        <v>161</v>
      </c>
      <c r="B162" s="5" t="s">
        <v>62</v>
      </c>
      <c r="C162" s="5" t="str">
        <f>VLOOKUP(B162,Справочник!$A$2:$B$23,2,FALSE)</f>
        <v>Производство ЖБИ</v>
      </c>
      <c r="D162" s="5" t="s">
        <v>64</v>
      </c>
      <c r="E162" s="5" t="str">
        <f>VLOOKUP(D162,Справочник!$D$2:$E$119,2,FALSE)</f>
        <v>Шарифов Саидхоча Мамадович</v>
      </c>
      <c r="F162" s="2" t="s">
        <v>43</v>
      </c>
      <c r="G162" s="5" t="str">
        <f>VLOOKUP(F162,Справочник!$D$2:$E$119,2,FALSE)</f>
        <v>Собиров Аличон Лахаевич</v>
      </c>
      <c r="H162" s="2" t="s">
        <v>187</v>
      </c>
      <c r="I162" s="5" t="str">
        <f>VLOOKUP(H162,Справочник!$H$2:$I$164,2,FALSE)</f>
        <v>Дехмой</v>
      </c>
    </row>
    <row r="163" spans="1:9" ht="19.95" customHeight="1" x14ac:dyDescent="0.3">
      <c r="A163" s="6">
        <v>162</v>
      </c>
      <c r="B163" s="5" t="s">
        <v>62</v>
      </c>
      <c r="C163" s="5" t="str">
        <f>VLOOKUP(B163,Справочник!$A$2:$B$23,2,FALSE)</f>
        <v>Производство ЖБИ</v>
      </c>
      <c r="D163" s="5" t="s">
        <v>64</v>
      </c>
      <c r="E163" s="5" t="str">
        <f>VLOOKUP(D163,Справочник!$D$2:$E$119,2,FALSE)</f>
        <v>Шарифов Саидхоча Мамадович</v>
      </c>
      <c r="F163" s="2" t="s">
        <v>43</v>
      </c>
      <c r="G163" s="7" t="str">
        <f>VLOOKUP(F163,Справочник!$D$2:$E$119,2,FALSE)</f>
        <v>Собиров Аличон Лахаевич</v>
      </c>
      <c r="H163" s="2" t="s">
        <v>188</v>
      </c>
      <c r="I163" s="7" t="str">
        <f>VLOOKUP(H163,Справочник!$H$2:$I$164,2,FALSE)</f>
        <v>ЖБИ 28 мк</v>
      </c>
    </row>
    <row r="164" spans="1:9" ht="19.95" customHeight="1" x14ac:dyDescent="0.3">
      <c r="A164" s="5">
        <v>163</v>
      </c>
      <c r="B164" s="5" t="s">
        <v>62</v>
      </c>
      <c r="C164" s="5" t="str">
        <f>VLOOKUP(B164,Справочник!$A$2:$B$23,2,FALSE)</f>
        <v>Производство ЖБИ</v>
      </c>
      <c r="D164" s="5" t="s">
        <v>64</v>
      </c>
      <c r="E164" s="5" t="str">
        <f>VLOOKUP(D164,Справочник!$D$2:$E$119,2,FALSE)</f>
        <v>Шарифов Саидхоча Мамадович</v>
      </c>
      <c r="F164" s="2" t="s">
        <v>43</v>
      </c>
      <c r="G164" s="5" t="str">
        <f>VLOOKUP(F164,Справочник!$D$2:$E$119,2,FALSE)</f>
        <v>Собиров Аличон Лахаевич</v>
      </c>
      <c r="H164" s="2" t="s">
        <v>189</v>
      </c>
      <c r="I164" s="5" t="str">
        <f>VLOOKUP(H164,Справочник!$H$2:$I$164,2,FALSE)</f>
        <v>Кимё</v>
      </c>
    </row>
    <row r="165" spans="1:9" ht="19.95" customHeight="1" x14ac:dyDescent="0.3">
      <c r="A165" s="6">
        <v>164</v>
      </c>
      <c r="B165" s="5" t="s">
        <v>62</v>
      </c>
      <c r="C165" s="5" t="str">
        <f>VLOOKUP(B165,Справочник!$A$2:$B$23,2,FALSE)</f>
        <v>Производство ЖБИ</v>
      </c>
      <c r="D165" s="5" t="s">
        <v>64</v>
      </c>
      <c r="E165" s="5" t="str">
        <f>VLOOKUP(D165,Справочник!$D$2:$E$119,2,FALSE)</f>
        <v>Шарифов Саидхоча Мамадович</v>
      </c>
      <c r="F165" s="2" t="s">
        <v>43</v>
      </c>
      <c r="G165" s="7" t="str">
        <f>VLOOKUP(F165,Справочник!$D$2:$E$119,2,FALSE)</f>
        <v>Собиров Аличон Лахаевич</v>
      </c>
      <c r="H165" s="2" t="s">
        <v>190</v>
      </c>
      <c r="I165" s="7" t="str">
        <f>VLOOKUP(H165,Справочник!$H$2:$I$164,2,FALSE)</f>
        <v>Раматчонако Гозиён</v>
      </c>
    </row>
    <row r="166" spans="1:9" ht="19.95" customHeight="1" x14ac:dyDescent="0.3">
      <c r="A166" s="5">
        <v>165</v>
      </c>
      <c r="B166" s="5" t="s">
        <v>62</v>
      </c>
      <c r="C166" s="5" t="str">
        <f>VLOOKUP(B166,Справочник!$A$2:$B$23,2,FALSE)</f>
        <v>Производство ЖБИ</v>
      </c>
      <c r="D166" s="5" t="s">
        <v>64</v>
      </c>
      <c r="E166" s="5" t="str">
        <f>VLOOKUP(D166,Справочник!$D$2:$E$119,2,FALSE)</f>
        <v>Шарифов Саидхоча Мамадович</v>
      </c>
      <c r="F166" s="2" t="s">
        <v>43</v>
      </c>
      <c r="G166" s="5" t="str">
        <f>VLOOKUP(F166,Справочник!$D$2:$E$119,2,FALSE)</f>
        <v>Собиров Аличон Лахаевич</v>
      </c>
      <c r="H166" s="2" t="s">
        <v>191</v>
      </c>
      <c r="I166" s="5" t="str">
        <f>VLOOKUP(H166,Справочник!$H$2:$I$164,2,FALSE)</f>
        <v>РБУ Пулчукур</v>
      </c>
    </row>
    <row r="167" spans="1:9" ht="19.95" customHeight="1" x14ac:dyDescent="0.3">
      <c r="A167" s="6">
        <v>166</v>
      </c>
      <c r="B167" s="5" t="s">
        <v>62</v>
      </c>
      <c r="C167" s="5" t="str">
        <f>VLOOKUP(B167,Справочник!$A$2:$B$23,2,FALSE)</f>
        <v>Производство ЖБИ</v>
      </c>
      <c r="D167" s="5" t="s">
        <v>64</v>
      </c>
      <c r="E167" s="5" t="str">
        <f>VLOOKUP(D167,Справочник!$D$2:$E$119,2,FALSE)</f>
        <v>Шарифов Саидхоча Мамадович</v>
      </c>
      <c r="F167" s="2" t="s">
        <v>43</v>
      </c>
      <c r="G167" s="7" t="str">
        <f>VLOOKUP(F167,Справочник!$D$2:$E$119,2,FALSE)</f>
        <v>Собиров Аличон Лахаевич</v>
      </c>
      <c r="H167" s="2" t="s">
        <v>192</v>
      </c>
      <c r="I167" s="7" t="str">
        <f>VLOOKUP(H167,Справочник!$H$2:$I$164,2,FALSE)</f>
        <v>Терминал Чашма</v>
      </c>
    </row>
    <row r="168" spans="1:9" ht="19.95" customHeight="1" x14ac:dyDescent="0.3">
      <c r="A168" s="5">
        <v>167</v>
      </c>
      <c r="B168" s="5" t="s">
        <v>62</v>
      </c>
      <c r="C168" s="5" t="str">
        <f>VLOOKUP(B168,Справочник!$A$2:$B$23,2,FALSE)</f>
        <v>Производство ЖБИ</v>
      </c>
      <c r="D168" s="5" t="s">
        <v>64</v>
      </c>
      <c r="E168" s="5" t="str">
        <f>VLOOKUP(D168,Справочник!$D$2:$E$119,2,FALSE)</f>
        <v>Шарифов Саидхоча Мамадович</v>
      </c>
      <c r="F168" s="2" t="s">
        <v>43</v>
      </c>
      <c r="G168" s="5" t="str">
        <f>VLOOKUP(F168,Справочник!$D$2:$E$119,2,FALSE)</f>
        <v>Собиров Аличон Лахаевич</v>
      </c>
      <c r="H168" s="2" t="s">
        <v>193</v>
      </c>
      <c r="I168" s="5" t="str">
        <f>VLOOKUP(H168,Справочник!$H$2:$I$164,2,FALSE)</f>
        <v>Толиб 3мк</v>
      </c>
    </row>
    <row r="169" spans="1:9" ht="19.95" customHeight="1" x14ac:dyDescent="0.3">
      <c r="A169" s="6">
        <v>168</v>
      </c>
      <c r="B169" s="5" t="s">
        <v>62</v>
      </c>
      <c r="C169" s="5" t="str">
        <f>VLOOKUP(B169,Справочник!$A$2:$B$23,2,FALSE)</f>
        <v>Производство ЖБИ</v>
      </c>
      <c r="D169" s="5" t="s">
        <v>64</v>
      </c>
      <c r="E169" s="5" t="str">
        <f>VLOOKUP(D169,Справочник!$D$2:$E$119,2,FALSE)</f>
        <v>Шарифов Саидхоча Мамадович</v>
      </c>
      <c r="F169" s="2" t="s">
        <v>43</v>
      </c>
      <c r="G169" s="7" t="str">
        <f>VLOOKUP(F169,Справочник!$D$2:$E$119,2,FALSE)</f>
        <v>Собиров Аличон Лахаевич</v>
      </c>
      <c r="H169" s="2" t="s">
        <v>194</v>
      </c>
      <c r="I169" s="7" t="str">
        <f>VLOOKUP(H169,Справочник!$H$2:$I$164,2,FALSE)</f>
        <v>Хакимако Гозиён</v>
      </c>
    </row>
    <row r="170" spans="1:9" ht="19.95" customHeight="1" x14ac:dyDescent="0.3">
      <c r="A170" s="5">
        <v>169</v>
      </c>
      <c r="B170" s="5" t="s">
        <v>62</v>
      </c>
      <c r="C170" s="5" t="str">
        <f>VLOOKUP(B170,Справочник!$A$2:$B$23,2,FALSE)</f>
        <v>Производство ЖБИ</v>
      </c>
      <c r="D170" s="5" t="s">
        <v>64</v>
      </c>
      <c r="E170" s="5" t="str">
        <f>VLOOKUP(D170,Справочник!$D$2:$E$119,2,FALSE)</f>
        <v>Шарифов Саидхоча Мамадович</v>
      </c>
      <c r="F170" s="2" t="s">
        <v>43</v>
      </c>
      <c r="G170" s="5" t="str">
        <f>VLOOKUP(F170,Справочник!$D$2:$E$119,2,FALSE)</f>
        <v>Собиров Аличон Лахаевич</v>
      </c>
      <c r="H170" s="2" t="s">
        <v>195</v>
      </c>
      <c r="I170" s="5" t="str">
        <f>VLOOKUP(H170,Справочник!$H$2:$I$164,2,FALSE)</f>
        <v>Хуршед 777</v>
      </c>
    </row>
    <row r="171" spans="1:9" ht="19.95" customHeight="1" x14ac:dyDescent="0.3">
      <c r="A171" s="6">
        <v>170</v>
      </c>
      <c r="B171" s="5" t="s">
        <v>62</v>
      </c>
      <c r="C171" s="5" t="str">
        <f>VLOOKUP(B171,Справочник!$A$2:$B$23,2,FALSE)</f>
        <v>Производство ЖБИ</v>
      </c>
      <c r="D171" s="5" t="s">
        <v>64</v>
      </c>
      <c r="E171" s="5" t="str">
        <f>VLOOKUP(D171,Справочник!$D$2:$E$119,2,FALSE)</f>
        <v>Шарифов Саидхоча Мамадович</v>
      </c>
      <c r="F171" s="2" t="s">
        <v>43</v>
      </c>
      <c r="G171" s="7" t="str">
        <f>VLOOKUP(F171,Справочник!$D$2:$E$119,2,FALSE)</f>
        <v>Собиров Аличон Лахаевич</v>
      </c>
      <c r="H171" s="2" t="s">
        <v>196</v>
      </c>
      <c r="I171" s="7" t="str">
        <f>VLOOKUP(H171,Справочник!$H$2:$I$164,2,FALSE)</f>
        <v>Шохин Гозийн</v>
      </c>
    </row>
    <row r="172" spans="1:9" ht="19.95" customHeight="1" x14ac:dyDescent="0.3">
      <c r="A172" s="5">
        <v>171</v>
      </c>
      <c r="B172" s="5" t="s">
        <v>62</v>
      </c>
      <c r="C172" s="5" t="str">
        <f>VLOOKUP(B172,Справочник!$A$2:$B$23,2,FALSE)</f>
        <v>Производство ЖБИ</v>
      </c>
      <c r="D172" s="5" t="s">
        <v>64</v>
      </c>
      <c r="E172" s="5" t="str">
        <f>VLOOKUP(D172,Справочник!$D$2:$E$119,2,FALSE)</f>
        <v>Шарифов Саидхоча Мамадович</v>
      </c>
      <c r="F172" s="2" t="s">
        <v>43</v>
      </c>
      <c r="G172" s="5" t="str">
        <f>VLOOKUP(F172,Справочник!$D$2:$E$119,2,FALSE)</f>
        <v>Собиров Аличон Лахаевич</v>
      </c>
      <c r="H172" s="2" t="s">
        <v>197</v>
      </c>
      <c r="I172" s="5" t="str">
        <f>VLOOKUP(H172,Справочник!$H$2:$I$164,2,FALSE)</f>
        <v>ЭЛИТ СОХТМОН</v>
      </c>
    </row>
    <row r="173" spans="1:9" ht="19.95" customHeight="1" x14ac:dyDescent="0.3">
      <c r="A173" s="6">
        <v>172</v>
      </c>
      <c r="B173" s="5" t="s">
        <v>65</v>
      </c>
      <c r="C173" s="5" t="str">
        <f>VLOOKUP(B173,Справочник!$A$2:$B$23,2,FALSE)</f>
        <v>Производство Кирпичзавод</v>
      </c>
      <c r="D173" s="5" t="s">
        <v>67</v>
      </c>
      <c r="E173" s="5" t="str">
        <f>VLOOKUP(D173,Справочник!$D$2:$E$119,2,FALSE)</f>
        <v>Шамсиев Мансурчон Муродович</v>
      </c>
      <c r="F173" s="2" t="s">
        <v>43</v>
      </c>
      <c r="G173" s="7" t="str">
        <f>VLOOKUP(F173,Справочник!$D$2:$E$119,2,FALSE)</f>
        <v>Собиров Аличон Лахаевич</v>
      </c>
      <c r="H173" s="2" t="s">
        <v>198</v>
      </c>
      <c r="I173" s="7" t="str">
        <f>VLOOKUP(H173,Справочник!$H$2:$I$164,2,FALSE)</f>
        <v>Акма</v>
      </c>
    </row>
    <row r="174" spans="1:9" ht="19.95" customHeight="1" x14ac:dyDescent="0.3">
      <c r="A174" s="5">
        <v>173</v>
      </c>
      <c r="B174" s="5" t="s">
        <v>65</v>
      </c>
      <c r="C174" s="5" t="str">
        <f>VLOOKUP(B174,Справочник!$A$2:$B$23,2,FALSE)</f>
        <v>Производство Кирпичзавод</v>
      </c>
      <c r="D174" s="5" t="s">
        <v>67</v>
      </c>
      <c r="E174" s="5" t="str">
        <f>VLOOKUP(D174,Справочник!$D$2:$E$119,2,FALSE)</f>
        <v>Шамсиев Мансурчон Муродович</v>
      </c>
      <c r="F174" s="2" t="s">
        <v>43</v>
      </c>
      <c r="G174" s="5" t="str">
        <f>VLOOKUP(F174,Справочник!$D$2:$E$119,2,FALSE)</f>
        <v>Собиров Аличон Лахаевич</v>
      </c>
      <c r="H174" s="2" t="s">
        <v>199</v>
      </c>
      <c r="I174" s="5" t="str">
        <f>VLOOKUP(H174,Справочник!$H$2:$I$164,2,FALSE)</f>
        <v>Зам-Зам</v>
      </c>
    </row>
    <row r="175" spans="1:9" ht="19.95" customHeight="1" x14ac:dyDescent="0.3">
      <c r="A175" s="6">
        <v>174</v>
      </c>
      <c r="B175" s="5" t="s">
        <v>65</v>
      </c>
      <c r="C175" s="5" t="str">
        <f>VLOOKUP(B175,Справочник!$A$2:$B$23,2,FALSE)</f>
        <v>Производство Кирпичзавод</v>
      </c>
      <c r="D175" s="5" t="s">
        <v>67</v>
      </c>
      <c r="E175" s="5" t="str">
        <f>VLOOKUP(D175,Справочник!$D$2:$E$119,2,FALSE)</f>
        <v>Шамсиев Мансурчон Муродович</v>
      </c>
      <c r="F175" s="2" t="s">
        <v>43</v>
      </c>
      <c r="G175" s="7" t="str">
        <f>VLOOKUP(F175,Справочник!$D$2:$E$119,2,FALSE)</f>
        <v>Собиров Аличон Лахаевич</v>
      </c>
      <c r="H175" s="2" t="s">
        <v>200</v>
      </c>
      <c r="I175" s="7" t="str">
        <f>VLOOKUP(H175,Справочник!$H$2:$I$164,2,FALSE)</f>
        <v>Миллионка Амон</v>
      </c>
    </row>
    <row r="176" spans="1:9" ht="19.95" customHeight="1" x14ac:dyDescent="0.3">
      <c r="A176" s="5">
        <v>175</v>
      </c>
      <c r="B176" s="5" t="s">
        <v>65</v>
      </c>
      <c r="C176" s="5" t="str">
        <f>VLOOKUP(B176,Справочник!$A$2:$B$23,2,FALSE)</f>
        <v>Производство Кирпичзавод</v>
      </c>
      <c r="D176" s="5" t="s">
        <v>67</v>
      </c>
      <c r="E176" s="5" t="str">
        <f>VLOOKUP(D176,Справочник!$D$2:$E$119,2,FALSE)</f>
        <v>Шамсиев Мансурчон Муродович</v>
      </c>
      <c r="F176" s="2" t="s">
        <v>43</v>
      </c>
      <c r="G176" s="5" t="str">
        <f>VLOOKUP(F176,Справочник!$D$2:$E$119,2,FALSE)</f>
        <v>Собиров Аличон Лахаевич</v>
      </c>
      <c r="H176" s="2" t="s">
        <v>201</v>
      </c>
      <c r="I176" s="5" t="str">
        <f>VLOOKUP(H176,Справочник!$H$2:$I$164,2,FALSE)</f>
        <v>Миллионка Нуъмонако</v>
      </c>
    </row>
    <row r="177" spans="1:9" ht="19.95" customHeight="1" x14ac:dyDescent="0.3">
      <c r="A177" s="6">
        <v>176</v>
      </c>
      <c r="B177" s="5" t="s">
        <v>65</v>
      </c>
      <c r="C177" s="5" t="str">
        <f>VLOOKUP(B177,Справочник!$A$2:$B$23,2,FALSE)</f>
        <v>Производство Кирпичзавод</v>
      </c>
      <c r="D177" s="5" t="s">
        <v>67</v>
      </c>
      <c r="E177" s="5" t="str">
        <f>VLOOKUP(D177,Справочник!$D$2:$E$119,2,FALSE)</f>
        <v>Шамсиев Мансурчон Муродович</v>
      </c>
      <c r="F177" s="2" t="s">
        <v>43</v>
      </c>
      <c r="G177" s="7" t="str">
        <f>VLOOKUP(F177,Справочник!$D$2:$E$119,2,FALSE)</f>
        <v>Собиров Аличон Лахаевич</v>
      </c>
      <c r="H177" s="2" t="s">
        <v>202</v>
      </c>
      <c r="I177" s="7" t="str">
        <f>VLOOKUP(H177,Справочник!$H$2:$I$164,2,FALSE)</f>
        <v>Миллионка Хитой</v>
      </c>
    </row>
    <row r="178" spans="1:9" ht="19.95" customHeight="1" x14ac:dyDescent="0.3">
      <c r="A178" s="5">
        <v>177</v>
      </c>
      <c r="B178" s="5" t="s">
        <v>65</v>
      </c>
      <c r="C178" s="5" t="str">
        <f>VLOOKUP(B178,Справочник!$A$2:$B$23,2,FALSE)</f>
        <v>Производство Кирпичзавод</v>
      </c>
      <c r="D178" s="5" t="s">
        <v>67</v>
      </c>
      <c r="E178" s="5" t="str">
        <f>VLOOKUP(D178,Справочник!$D$2:$E$119,2,FALSE)</f>
        <v>Шамсиев Мансурчон Муродович</v>
      </c>
      <c r="F178" s="2" t="s">
        <v>43</v>
      </c>
      <c r="G178" s="5" t="str">
        <f>VLOOKUP(F178,Справочник!$D$2:$E$119,2,FALSE)</f>
        <v>Собиров Аличон Лахаевич</v>
      </c>
      <c r="H178" s="2" t="s">
        <v>203</v>
      </c>
      <c r="I178" s="5" t="str">
        <f>VLOOKUP(H178,Справочник!$H$2:$I$164,2,FALSE)</f>
        <v>Ободкор</v>
      </c>
    </row>
    <row r="179" spans="1:9" ht="19.95" customHeight="1" x14ac:dyDescent="0.3">
      <c r="A179" s="6">
        <v>178</v>
      </c>
      <c r="B179" s="5" t="s">
        <v>65</v>
      </c>
      <c r="C179" s="5" t="str">
        <f>VLOOKUP(B179,Справочник!$A$2:$B$23,2,FALSE)</f>
        <v>Производство Кирпичзавод</v>
      </c>
      <c r="D179" s="5" t="s">
        <v>67</v>
      </c>
      <c r="E179" s="5" t="str">
        <f>VLOOKUP(D179,Справочник!$D$2:$E$119,2,FALSE)</f>
        <v>Шамсиев Мансурчон Муродович</v>
      </c>
      <c r="F179" s="2" t="s">
        <v>43</v>
      </c>
      <c r="G179" s="7" t="str">
        <f>VLOOKUP(F179,Справочник!$D$2:$E$119,2,FALSE)</f>
        <v>Собиров Аличон Лахаевич</v>
      </c>
      <c r="H179" s="2" t="s">
        <v>204</v>
      </c>
      <c r="I179" s="7" t="str">
        <f>VLOOKUP(H179,Справочник!$H$2:$I$164,2,FALSE)</f>
        <v>Пролетар Заводи калон</v>
      </c>
    </row>
    <row r="180" spans="1:9" ht="19.95" customHeight="1" x14ac:dyDescent="0.3">
      <c r="A180" s="5">
        <v>179</v>
      </c>
      <c r="B180" s="5" t="s">
        <v>65</v>
      </c>
      <c r="C180" s="5" t="str">
        <f>VLOOKUP(B180,Справочник!$A$2:$B$23,2,FALSE)</f>
        <v>Производство Кирпичзавод</v>
      </c>
      <c r="D180" s="5" t="s">
        <v>67</v>
      </c>
      <c r="E180" s="5" t="str">
        <f>VLOOKUP(D180,Справочник!$D$2:$E$119,2,FALSE)</f>
        <v>Шамсиев Мансурчон Муродович</v>
      </c>
      <c r="F180" s="2" t="s">
        <v>43</v>
      </c>
      <c r="G180" s="5" t="str">
        <f>VLOOKUP(F180,Справочник!$D$2:$E$119,2,FALSE)</f>
        <v>Собиров Аличон Лахаевич</v>
      </c>
      <c r="H180" s="2" t="s">
        <v>205</v>
      </c>
      <c r="I180" s="5" t="str">
        <f>VLOOKUP(H180,Справочник!$H$2:$I$164,2,FALSE)</f>
        <v>Таксапарк Усмончон</v>
      </c>
    </row>
    <row r="181" spans="1:9" ht="19.95" customHeight="1" x14ac:dyDescent="0.3">
      <c r="A181" s="6">
        <v>180</v>
      </c>
      <c r="B181" s="5" t="s">
        <v>68</v>
      </c>
      <c r="C181" s="5" t="str">
        <f>VLOOKUP(B181,Справочник!$A$2:$B$23,2,FALSE)</f>
        <v>Производство РБУ</v>
      </c>
      <c r="D181" s="5" t="s">
        <v>70</v>
      </c>
      <c r="E181" s="5" t="str">
        <f>VLOOKUP(D181,Справочник!$D$2:$E$119,2,FALSE)</f>
        <v>Окилов Баротчон Камолович</v>
      </c>
      <c r="F181" s="2" t="s">
        <v>43</v>
      </c>
      <c r="G181" s="7" t="str">
        <f>VLOOKUP(F181,Справочник!$D$2:$E$119,2,FALSE)</f>
        <v>Собиров Аличон Лахаевич</v>
      </c>
      <c r="H181" s="2" t="s">
        <v>206</v>
      </c>
      <c r="I181" s="7" t="str">
        <f>VLOOKUP(H181,Справочник!$H$2:$I$164,2,FALSE)</f>
        <v>АВРУПОСОЗ</v>
      </c>
    </row>
    <row r="182" spans="1:9" ht="19.95" customHeight="1" x14ac:dyDescent="0.3">
      <c r="A182" s="5">
        <v>181</v>
      </c>
      <c r="B182" s="5" t="s">
        <v>68</v>
      </c>
      <c r="C182" s="5" t="str">
        <f>VLOOKUP(B182,Справочник!$A$2:$B$23,2,FALSE)</f>
        <v>Производство РБУ</v>
      </c>
      <c r="D182" s="5" t="s">
        <v>70</v>
      </c>
      <c r="E182" s="5" t="str">
        <f>VLOOKUP(D182,Справочник!$D$2:$E$119,2,FALSE)</f>
        <v>Окилов Баротчон Камолович</v>
      </c>
      <c r="F182" s="2" t="s">
        <v>43</v>
      </c>
      <c r="G182" s="5" t="str">
        <f>VLOOKUP(F182,Справочник!$D$2:$E$119,2,FALSE)</f>
        <v>Собиров Аличон Лахаевич</v>
      </c>
      <c r="H182" s="2" t="s">
        <v>207</v>
      </c>
      <c r="I182" s="5" t="str">
        <f>VLOOKUP(H182,Справочник!$H$2:$I$164,2,FALSE)</f>
        <v>Каскад Хучанд</v>
      </c>
    </row>
    <row r="183" spans="1:9" ht="19.95" customHeight="1" x14ac:dyDescent="0.3">
      <c r="A183" s="6">
        <v>182</v>
      </c>
      <c r="B183" s="5" t="s">
        <v>68</v>
      </c>
      <c r="C183" s="5" t="str">
        <f>VLOOKUP(B183,Справочник!$A$2:$B$23,2,FALSE)</f>
        <v>Производство РБУ</v>
      </c>
      <c r="D183" s="5" t="s">
        <v>70</v>
      </c>
      <c r="E183" s="5" t="str">
        <f>VLOOKUP(D183,Справочник!$D$2:$E$119,2,FALSE)</f>
        <v>Окилов Баротчон Камолович</v>
      </c>
      <c r="F183" s="2" t="s">
        <v>43</v>
      </c>
      <c r="G183" s="7" t="str">
        <f>VLOOKUP(F183,Справочник!$D$2:$E$119,2,FALSE)</f>
        <v>Собиров Аличон Лахаевич</v>
      </c>
      <c r="H183" s="2" t="s">
        <v>208</v>
      </c>
      <c r="I183" s="7" t="str">
        <f>VLOOKUP(H183,Справочник!$H$2:$I$164,2,FALSE)</f>
        <v>КИМЁ</v>
      </c>
    </row>
    <row r="184" spans="1:9" ht="19.95" customHeight="1" x14ac:dyDescent="0.3">
      <c r="A184" s="5">
        <v>183</v>
      </c>
      <c r="B184" s="5" t="s">
        <v>68</v>
      </c>
      <c r="C184" s="5" t="str">
        <f>VLOOKUP(B184,Справочник!$A$2:$B$23,2,FALSE)</f>
        <v>Производство РБУ</v>
      </c>
      <c r="D184" s="5" t="s">
        <v>70</v>
      </c>
      <c r="E184" s="5" t="str">
        <f>VLOOKUP(D184,Справочник!$D$2:$E$119,2,FALSE)</f>
        <v>Окилов Баротчон Камолович</v>
      </c>
      <c r="F184" s="2" t="s">
        <v>43</v>
      </c>
      <c r="G184" s="5" t="str">
        <f>VLOOKUP(F184,Справочник!$D$2:$E$119,2,FALSE)</f>
        <v>Собиров Аличон Лахаевич</v>
      </c>
      <c r="H184" s="2" t="s">
        <v>209</v>
      </c>
      <c r="I184" s="5" t="str">
        <f>VLOOKUP(H184,Справочник!$H$2:$I$164,2,FALSE)</f>
        <v>Кристал сохтмон</v>
      </c>
    </row>
    <row r="185" spans="1:9" ht="19.95" customHeight="1" x14ac:dyDescent="0.3">
      <c r="A185" s="6">
        <v>184</v>
      </c>
      <c r="B185" s="5" t="s">
        <v>68</v>
      </c>
      <c r="C185" s="5" t="str">
        <f>VLOOKUP(B185,Справочник!$A$2:$B$23,2,FALSE)</f>
        <v>Производство РБУ</v>
      </c>
      <c r="D185" s="5" t="s">
        <v>70</v>
      </c>
      <c r="E185" s="5" t="str">
        <f>VLOOKUP(D185,Справочник!$D$2:$E$119,2,FALSE)</f>
        <v>Окилов Баротчон Камолович</v>
      </c>
      <c r="F185" s="2" t="s">
        <v>43</v>
      </c>
      <c r="G185" s="7" t="str">
        <f>VLOOKUP(F185,Справочник!$D$2:$E$119,2,FALSE)</f>
        <v>Собиров Аличон Лахаевич</v>
      </c>
      <c r="H185" s="2" t="s">
        <v>210</v>
      </c>
      <c r="I185" s="7" t="str">
        <f>VLOOKUP(H185,Справочник!$H$2:$I$164,2,FALSE)</f>
        <v>НУРИ СИФАТ</v>
      </c>
    </row>
    <row r="186" spans="1:9" ht="19.95" customHeight="1" x14ac:dyDescent="0.3">
      <c r="A186" s="5">
        <v>185</v>
      </c>
      <c r="B186" s="5" t="s">
        <v>68</v>
      </c>
      <c r="C186" s="5" t="str">
        <f>VLOOKUP(B186,Справочник!$A$2:$B$23,2,FALSE)</f>
        <v>Производство РБУ</v>
      </c>
      <c r="D186" s="5" t="s">
        <v>70</v>
      </c>
      <c r="E186" s="5" t="str">
        <f>VLOOKUP(D186,Справочник!$D$2:$E$119,2,FALSE)</f>
        <v>Окилов Баротчон Камолович</v>
      </c>
      <c r="F186" s="2" t="s">
        <v>43</v>
      </c>
      <c r="G186" s="5" t="str">
        <f>VLOOKUP(F186,Справочник!$D$2:$E$119,2,FALSE)</f>
        <v>Собиров Аличон Лахаевич</v>
      </c>
      <c r="H186" s="2" t="s">
        <v>211</v>
      </c>
      <c r="I186" s="5" t="str">
        <f>VLOOKUP(H186,Справочник!$H$2:$I$164,2,FALSE)</f>
        <v>РБУ Рухак Хочиабдучалил</v>
      </c>
    </row>
    <row r="187" spans="1:9" ht="19.95" customHeight="1" x14ac:dyDescent="0.3">
      <c r="A187" s="6">
        <v>186</v>
      </c>
      <c r="B187" s="5" t="s">
        <v>68</v>
      </c>
      <c r="C187" s="5" t="str">
        <f>VLOOKUP(B187,Справочник!$A$2:$B$23,2,FALSE)</f>
        <v>Производство РБУ</v>
      </c>
      <c r="D187" s="5" t="s">
        <v>70</v>
      </c>
      <c r="E187" s="5" t="str">
        <f>VLOOKUP(D187,Справочник!$D$2:$E$119,2,FALSE)</f>
        <v>Окилов Баротчон Камолович</v>
      </c>
      <c r="F187" s="2" t="s">
        <v>43</v>
      </c>
      <c r="G187" s="7" t="str">
        <f>VLOOKUP(F187,Справочник!$D$2:$E$119,2,FALSE)</f>
        <v>Собиров Аличон Лахаевич</v>
      </c>
      <c r="H187" s="2" t="s">
        <v>212</v>
      </c>
      <c r="I187" s="7" t="str">
        <f>VLOOKUP(H187,Справочник!$H$2:$I$164,2,FALSE)</f>
        <v>Сеганч</v>
      </c>
    </row>
    <row r="188" spans="1:9" ht="19.95" customHeight="1" x14ac:dyDescent="0.3">
      <c r="A188" s="5">
        <v>187</v>
      </c>
      <c r="B188" s="5" t="s">
        <v>68</v>
      </c>
      <c r="C188" s="5" t="str">
        <f>VLOOKUP(B188,Справочник!$A$2:$B$23,2,FALSE)</f>
        <v>Производство РБУ</v>
      </c>
      <c r="D188" s="5" t="s">
        <v>70</v>
      </c>
      <c r="E188" s="5" t="str">
        <f>VLOOKUP(D188,Справочник!$D$2:$E$119,2,FALSE)</f>
        <v>Окилов Баротчон Камолович</v>
      </c>
      <c r="F188" s="2" t="s">
        <v>43</v>
      </c>
      <c r="G188" s="5" t="str">
        <f>VLOOKUP(F188,Справочник!$D$2:$E$119,2,FALSE)</f>
        <v>Собиров Аличон Лахаевич</v>
      </c>
      <c r="H188" s="2" t="s">
        <v>213</v>
      </c>
      <c r="I188" s="5" t="str">
        <f>VLOOKUP(H188,Справочник!$H$2:$I$164,2,FALSE)</f>
        <v>СИПЕХР</v>
      </c>
    </row>
    <row r="189" spans="1:9" ht="19.95" customHeight="1" x14ac:dyDescent="0.3">
      <c r="A189" s="6">
        <v>188</v>
      </c>
      <c r="B189" s="5" t="s">
        <v>68</v>
      </c>
      <c r="C189" s="5" t="str">
        <f>VLOOKUP(B189,Справочник!$A$2:$B$23,2,FALSE)</f>
        <v>Производство РБУ</v>
      </c>
      <c r="D189" s="5" t="s">
        <v>70</v>
      </c>
      <c r="E189" s="5" t="str">
        <f>VLOOKUP(D189,Справочник!$D$2:$E$119,2,FALSE)</f>
        <v>Окилов Баротчон Камолович</v>
      </c>
      <c r="F189" s="2" t="s">
        <v>43</v>
      </c>
      <c r="G189" s="7" t="str">
        <f>VLOOKUP(F189,Справочник!$D$2:$E$119,2,FALSE)</f>
        <v>Собиров Аличон Лахаевич</v>
      </c>
      <c r="H189" s="2" t="s">
        <v>214</v>
      </c>
      <c r="I189" s="7" t="str">
        <f>VLOOKUP(H189,Справочник!$H$2:$I$164,2,FALSE)</f>
        <v>Тобовар</v>
      </c>
    </row>
    <row r="190" spans="1:9" ht="19.95" customHeight="1" x14ac:dyDescent="0.3">
      <c r="A190" s="5">
        <v>189</v>
      </c>
      <c r="B190" s="5" t="s">
        <v>68</v>
      </c>
      <c r="C190" s="5" t="str">
        <f>VLOOKUP(B190,Справочник!$A$2:$B$23,2,FALSE)</f>
        <v>Производство РБУ</v>
      </c>
      <c r="D190" s="5" t="s">
        <v>70</v>
      </c>
      <c r="E190" s="5" t="str">
        <f>VLOOKUP(D190,Справочник!$D$2:$E$119,2,FALSE)</f>
        <v>Окилов Баротчон Камолович</v>
      </c>
      <c r="F190" s="2" t="s">
        <v>43</v>
      </c>
      <c r="G190" s="5" t="str">
        <f>VLOOKUP(F190,Справочник!$D$2:$E$119,2,FALSE)</f>
        <v>Собиров Аличон Лахаевич</v>
      </c>
      <c r="H190" s="2" t="s">
        <v>215</v>
      </c>
      <c r="I190" s="5" t="str">
        <f>VLOOKUP(H190,Справочник!$H$2:$I$164,2,FALSE)</f>
        <v>ТОЧСОХТМОН РБУ</v>
      </c>
    </row>
    <row r="191" spans="1:9" ht="19.95" customHeight="1" x14ac:dyDescent="0.3">
      <c r="A191" s="6">
        <v>190</v>
      </c>
      <c r="B191" s="5" t="s">
        <v>68</v>
      </c>
      <c r="C191" s="5" t="str">
        <f>VLOOKUP(B191,Справочник!$A$2:$B$23,2,FALSE)</f>
        <v>Производство РБУ</v>
      </c>
      <c r="D191" s="5" t="s">
        <v>70</v>
      </c>
      <c r="E191" s="5" t="str">
        <f>VLOOKUP(D191,Справочник!$D$2:$E$119,2,FALSE)</f>
        <v>Окилов Баротчон Камолович</v>
      </c>
      <c r="F191" s="2" t="s">
        <v>43</v>
      </c>
      <c r="G191" s="7" t="str">
        <f>VLOOKUP(F191,Справочник!$D$2:$E$119,2,FALSE)</f>
        <v>Собиров Аличон Лахаевич</v>
      </c>
      <c r="H191" s="2" t="s">
        <v>216</v>
      </c>
      <c r="I191" s="7" t="str">
        <f>VLOOKUP(H191,Справочник!$H$2:$I$164,2,FALSE)</f>
        <v>ФАРАХ</v>
      </c>
    </row>
    <row r="192" spans="1:9" ht="19.95" customHeight="1" x14ac:dyDescent="0.3">
      <c r="A192" s="5">
        <v>191</v>
      </c>
      <c r="B192" s="5" t="s">
        <v>68</v>
      </c>
      <c r="C192" s="5" t="str">
        <f>VLOOKUP(B192,Справочник!$A$2:$B$23,2,FALSE)</f>
        <v>Производство РБУ</v>
      </c>
      <c r="D192" s="5" t="s">
        <v>70</v>
      </c>
      <c r="E192" s="5" t="str">
        <f>VLOOKUP(D192,Справочник!$D$2:$E$119,2,FALSE)</f>
        <v>Окилов Баротчон Камолович</v>
      </c>
      <c r="F192" s="2" t="s">
        <v>43</v>
      </c>
      <c r="G192" s="5" t="str">
        <f>VLOOKUP(F192,Справочник!$D$2:$E$119,2,FALSE)</f>
        <v>Собиров Аличон Лахаевич</v>
      </c>
      <c r="H192" s="2" t="s">
        <v>217</v>
      </c>
      <c r="I192" s="5" t="str">
        <f>VLOOKUP(H192,Справочник!$H$2:$I$164,2,FALSE)</f>
        <v>Хочи Фуркат</v>
      </c>
    </row>
    <row r="193" spans="1:9" ht="19.95" customHeight="1" x14ac:dyDescent="0.3">
      <c r="A193" s="6">
        <v>192</v>
      </c>
      <c r="B193" s="5" t="s">
        <v>68</v>
      </c>
      <c r="C193" s="5" t="str">
        <f>VLOOKUP(B193,Справочник!$A$2:$B$23,2,FALSE)</f>
        <v>Производство РБУ</v>
      </c>
      <c r="D193" s="5" t="s">
        <v>70</v>
      </c>
      <c r="E193" s="5" t="str">
        <f>VLOOKUP(D193,Справочник!$D$2:$E$119,2,FALSE)</f>
        <v>Окилов Баротчон Камолович</v>
      </c>
      <c r="F193" s="2" t="s">
        <v>43</v>
      </c>
      <c r="G193" s="7" t="str">
        <f>VLOOKUP(F193,Справочник!$D$2:$E$119,2,FALSE)</f>
        <v>Собиров Аличон Лахаевич</v>
      </c>
      <c r="H193" s="2" t="s">
        <v>218</v>
      </c>
      <c r="I193" s="7" t="str">
        <f>VLOOKUP(H193,Справочник!$H$2:$I$164,2,FALSE)</f>
        <v>ЭЛИТ СОХТМОН РБУ</v>
      </c>
    </row>
    <row r="194" spans="1:9" ht="34.049999999999997" customHeight="1" x14ac:dyDescent="0.3">
      <c r="A194" s="5">
        <v>193</v>
      </c>
      <c r="B194" s="5" t="s">
        <v>71</v>
      </c>
      <c r="C194" s="5" t="str">
        <f>VLOOKUP(B194,Справочник!$A$2:$B$23,2,FALSE)</f>
        <v>Проиозводство Гравий</v>
      </c>
      <c r="D194" s="5" t="s">
        <v>73</v>
      </c>
      <c r="E194" s="5" t="str">
        <f>VLOOKUP(D194,Справочник!$D$2:$E$119,2,FALSE)</f>
        <v>Абдувохидов Чамшед Шарифчонович</v>
      </c>
      <c r="F194" s="2" t="s">
        <v>43</v>
      </c>
      <c r="G194" s="5" t="str">
        <f>VLOOKUP(F194,Справочник!$D$2:$E$119,2,FALSE)</f>
        <v>Собиров Аличон Лахаевич</v>
      </c>
      <c r="H194" s="2" t="s">
        <v>219</v>
      </c>
      <c r="I194" s="5" t="str">
        <f>VLOOKUP(H194,Справочник!$H$2:$I$164,2,FALSE)</f>
        <v>Абдурозик</v>
      </c>
    </row>
    <row r="195" spans="1:9" ht="34.049999999999997" customHeight="1" x14ac:dyDescent="0.3">
      <c r="A195" s="6">
        <v>194</v>
      </c>
      <c r="B195" s="5" t="s">
        <v>71</v>
      </c>
      <c r="C195" s="5" t="str">
        <f>VLOOKUP(B195,Справочник!$A$2:$B$23,2,FALSE)</f>
        <v>Проиозводство Гравий</v>
      </c>
      <c r="D195" s="5" t="s">
        <v>73</v>
      </c>
      <c r="E195" s="5" t="str">
        <f>VLOOKUP(D195,Справочник!$D$2:$E$119,2,FALSE)</f>
        <v>Абдувохидов Чамшед Шарифчонович</v>
      </c>
      <c r="F195" s="2" t="s">
        <v>43</v>
      </c>
      <c r="G195" s="7" t="str">
        <f>VLOOKUP(F195,Справочник!$D$2:$E$119,2,FALSE)</f>
        <v>Собиров Аличон Лахаевич</v>
      </c>
      <c r="H195" s="2" t="s">
        <v>220</v>
      </c>
      <c r="I195" s="7" t="str">
        <f>VLOOKUP(H195,Справочник!$H$2:$I$164,2,FALSE)</f>
        <v>Азамат рухак ёни сифат- 2 та грав завод</v>
      </c>
    </row>
    <row r="196" spans="1:9" ht="34.049999999999997" customHeight="1" x14ac:dyDescent="0.3">
      <c r="A196" s="5">
        <v>195</v>
      </c>
      <c r="B196" s="5" t="s">
        <v>71</v>
      </c>
      <c r="C196" s="5" t="str">
        <f>VLOOKUP(B196,Справочник!$A$2:$B$23,2,FALSE)</f>
        <v>Проиозводство Гравий</v>
      </c>
      <c r="D196" s="5" t="s">
        <v>73</v>
      </c>
      <c r="E196" s="5" t="str">
        <f>VLOOKUP(D196,Справочник!$D$2:$E$119,2,FALSE)</f>
        <v>Абдувохидов Чамшед Шарифчонович</v>
      </c>
      <c r="F196" s="2" t="s">
        <v>43</v>
      </c>
      <c r="G196" s="5" t="str">
        <f>VLOOKUP(F196,Справочник!$D$2:$E$119,2,FALSE)</f>
        <v>Собиров Аличон Лахаевич</v>
      </c>
      <c r="H196" s="2" t="s">
        <v>221</v>
      </c>
      <c r="I196" s="5" t="str">
        <f>VLOOKUP(H196,Справочник!$H$2:$I$164,2,FALSE)</f>
        <v>Ашти Рухак 2 та гравзавод</v>
      </c>
    </row>
    <row r="197" spans="1:9" ht="34.049999999999997" customHeight="1" x14ac:dyDescent="0.3">
      <c r="A197" s="6">
        <v>196</v>
      </c>
      <c r="B197" s="5" t="s">
        <v>71</v>
      </c>
      <c r="C197" s="5" t="str">
        <f>VLOOKUP(B197,Справочник!$A$2:$B$23,2,FALSE)</f>
        <v>Проиозводство Гравий</v>
      </c>
      <c r="D197" s="5" t="s">
        <v>73</v>
      </c>
      <c r="E197" s="5" t="str">
        <f>VLOOKUP(D197,Справочник!$D$2:$E$119,2,FALSE)</f>
        <v>Абдувохидов Чамшед Шарифчонович</v>
      </c>
      <c r="F197" s="2" t="s">
        <v>43</v>
      </c>
      <c r="G197" s="7" t="str">
        <f>VLOOKUP(F197,Справочник!$D$2:$E$119,2,FALSE)</f>
        <v>Собиров Аличон Лахаевич</v>
      </c>
      <c r="H197" s="2" t="s">
        <v>222</v>
      </c>
      <c r="I197" s="7" t="str">
        <f>VLOOKUP(H197,Справочник!$H$2:$I$164,2,FALSE)</f>
        <v>Болои Кабир Абдучамил</v>
      </c>
    </row>
    <row r="198" spans="1:9" ht="34.049999999999997" customHeight="1" x14ac:dyDescent="0.3">
      <c r="A198" s="5">
        <v>197</v>
      </c>
      <c r="B198" s="5" t="s">
        <v>71</v>
      </c>
      <c r="C198" s="5" t="str">
        <f>VLOOKUP(B198,Справочник!$A$2:$B$23,2,FALSE)</f>
        <v>Проиозводство Гравий</v>
      </c>
      <c r="D198" s="5" t="s">
        <v>73</v>
      </c>
      <c r="E198" s="5" t="str">
        <f>VLOOKUP(D198,Справочник!$D$2:$E$119,2,FALSE)</f>
        <v>Абдувохидов Чамшед Шарифчонович</v>
      </c>
      <c r="F198" s="2" t="s">
        <v>43</v>
      </c>
      <c r="G198" s="5" t="str">
        <f>VLOOKUP(F198,Справочник!$D$2:$E$119,2,FALSE)</f>
        <v>Собиров Аличон Лахаевич</v>
      </c>
      <c r="H198" s="2" t="s">
        <v>223</v>
      </c>
      <c r="I198" s="5" t="str">
        <f>VLOOKUP(H198,Справочник!$H$2:$I$164,2,FALSE)</f>
        <v>Доломит</v>
      </c>
    </row>
    <row r="199" spans="1:9" ht="34.049999999999997" customHeight="1" x14ac:dyDescent="0.3">
      <c r="A199" s="6">
        <v>198</v>
      </c>
      <c r="B199" s="5" t="s">
        <v>71</v>
      </c>
      <c r="C199" s="5" t="str">
        <f>VLOOKUP(B199,Справочник!$A$2:$B$23,2,FALSE)</f>
        <v>Проиозводство Гравий</v>
      </c>
      <c r="D199" s="5" t="s">
        <v>73</v>
      </c>
      <c r="E199" s="5" t="str">
        <f>VLOOKUP(D199,Справочник!$D$2:$E$119,2,FALSE)</f>
        <v>Абдувохидов Чамшед Шарифчонович</v>
      </c>
      <c r="F199" s="2" t="s">
        <v>43</v>
      </c>
      <c r="G199" s="7" t="str">
        <f>VLOOKUP(F199,Справочник!$D$2:$E$119,2,FALSE)</f>
        <v>Собиров Аличон Лахаевич</v>
      </c>
      <c r="H199" s="2" t="s">
        <v>224</v>
      </c>
      <c r="I199" s="7" t="str">
        <f>VLOOKUP(H199,Справочник!$H$2:$I$164,2,FALSE)</f>
        <v>Карусель миён рохи Се даста</v>
      </c>
    </row>
    <row r="200" spans="1:9" ht="34.049999999999997" customHeight="1" x14ac:dyDescent="0.3">
      <c r="A200" s="5">
        <v>199</v>
      </c>
      <c r="B200" s="5" t="s">
        <v>71</v>
      </c>
      <c r="C200" s="5" t="str">
        <f>VLOOKUP(B200,Справочник!$A$2:$B$23,2,FALSE)</f>
        <v>Проиозводство Гравий</v>
      </c>
      <c r="D200" s="5" t="s">
        <v>73</v>
      </c>
      <c r="E200" s="5" t="str">
        <f>VLOOKUP(D200,Справочник!$D$2:$E$119,2,FALSE)</f>
        <v>Абдувохидов Чамшед Шарифчонович</v>
      </c>
      <c r="F200" s="2" t="s">
        <v>43</v>
      </c>
      <c r="G200" s="5" t="str">
        <f>VLOOKUP(F200,Справочник!$D$2:$E$119,2,FALSE)</f>
        <v>Собиров Аличон Лахаевич</v>
      </c>
      <c r="H200" s="2" t="s">
        <v>225</v>
      </c>
      <c r="I200" s="5" t="str">
        <f>VLOOKUP(H200,Справочник!$H$2:$I$164,2,FALSE)</f>
        <v>Кимие -Тарафи Сомгор</v>
      </c>
    </row>
    <row r="201" spans="1:9" ht="34.049999999999997" customHeight="1" x14ac:dyDescent="0.3">
      <c r="A201" s="6">
        <v>200</v>
      </c>
      <c r="B201" s="5" t="s">
        <v>71</v>
      </c>
      <c r="C201" s="5" t="str">
        <f>VLOOKUP(B201,Справочник!$A$2:$B$23,2,FALSE)</f>
        <v>Проиозводство Гравий</v>
      </c>
      <c r="D201" s="5" t="s">
        <v>73</v>
      </c>
      <c r="E201" s="5" t="str">
        <f>VLOOKUP(D201,Справочник!$D$2:$E$119,2,FALSE)</f>
        <v>Абдувохидов Чамшед Шарифчонович</v>
      </c>
      <c r="F201" s="2" t="s">
        <v>43</v>
      </c>
      <c r="G201" s="7" t="str">
        <f>VLOOKUP(F201,Справочник!$D$2:$E$119,2,FALSE)</f>
        <v>Собиров Аличон Лахаевич</v>
      </c>
      <c r="H201" s="2" t="s">
        <v>226</v>
      </c>
      <c r="I201" s="7" t="str">
        <f>VLOOKUP(H201,Справочник!$H$2:$I$164,2,FALSE)</f>
        <v>М-ТЭКО</v>
      </c>
    </row>
    <row r="202" spans="1:9" ht="34.049999999999997" customHeight="1" x14ac:dyDescent="0.3">
      <c r="A202" s="5">
        <v>201</v>
      </c>
      <c r="B202" s="5" t="s">
        <v>71</v>
      </c>
      <c r="C202" s="5" t="str">
        <f>VLOOKUP(B202,Справочник!$A$2:$B$23,2,FALSE)</f>
        <v>Проиозводство Гравий</v>
      </c>
      <c r="D202" s="5" t="s">
        <v>73</v>
      </c>
      <c r="E202" s="5" t="str">
        <f>VLOOKUP(D202,Справочник!$D$2:$E$119,2,FALSE)</f>
        <v>Абдувохидов Чамшед Шарифчонович</v>
      </c>
      <c r="F202" s="2" t="s">
        <v>43</v>
      </c>
      <c r="G202" s="5" t="str">
        <f>VLOOKUP(F202,Справочник!$D$2:$E$119,2,FALSE)</f>
        <v>Собиров Аличон Лахаевич</v>
      </c>
      <c r="H202" s="2" t="s">
        <v>227</v>
      </c>
      <c r="I202" s="5" t="str">
        <f>VLOOKUP(H202,Справочник!$H$2:$I$164,2,FALSE)</f>
        <v>Махсудчон Мурча - рухак</v>
      </c>
    </row>
    <row r="203" spans="1:9" ht="34.049999999999997" customHeight="1" x14ac:dyDescent="0.3">
      <c r="A203" s="6">
        <v>202</v>
      </c>
      <c r="B203" s="5" t="s">
        <v>71</v>
      </c>
      <c r="C203" s="5" t="str">
        <f>VLOOKUP(B203,Справочник!$A$2:$B$23,2,FALSE)</f>
        <v>Проиозводство Гравий</v>
      </c>
      <c r="D203" s="5" t="s">
        <v>73</v>
      </c>
      <c r="E203" s="5" t="str">
        <f>VLOOKUP(D203,Справочник!$D$2:$E$119,2,FALSE)</f>
        <v>Абдувохидов Чамшед Шарифчонович</v>
      </c>
      <c r="F203" s="2" t="s">
        <v>43</v>
      </c>
      <c r="G203" s="7" t="str">
        <f>VLOOKUP(F203,Справочник!$D$2:$E$119,2,FALSE)</f>
        <v>Собиров Аличон Лахаевич</v>
      </c>
      <c r="H203" s="2" t="s">
        <v>228</v>
      </c>
      <c r="I203" s="7" t="str">
        <f>VLOOKUP(H203,Справочник!$H$2:$I$164,2,FALSE)</f>
        <v>Нури Сифат</v>
      </c>
    </row>
    <row r="204" spans="1:9" ht="34.049999999999997" customHeight="1" x14ac:dyDescent="0.3">
      <c r="A204" s="5">
        <v>203</v>
      </c>
      <c r="B204" s="5" t="s">
        <v>71</v>
      </c>
      <c r="C204" s="5" t="str">
        <f>VLOOKUP(B204,Справочник!$A$2:$B$23,2,FALSE)</f>
        <v>Проиозводство Гравий</v>
      </c>
      <c r="D204" s="5" t="s">
        <v>73</v>
      </c>
      <c r="E204" s="5" t="str">
        <f>VLOOKUP(D204,Справочник!$D$2:$E$119,2,FALSE)</f>
        <v>Абдувохидов Чамшед Шарифчонович</v>
      </c>
      <c r="F204" s="2" t="s">
        <v>43</v>
      </c>
      <c r="G204" s="5" t="str">
        <f>VLOOKUP(F204,Справочник!$D$2:$E$119,2,FALSE)</f>
        <v>Собиров Аличон Лахаевич</v>
      </c>
      <c r="H204" s="2" t="s">
        <v>229</v>
      </c>
      <c r="I204" s="5" t="str">
        <f>VLOOKUP(H204,Справочник!$H$2:$I$164,2,FALSE)</f>
        <v>Рухак сифат</v>
      </c>
    </row>
    <row r="205" spans="1:9" ht="34.049999999999997" customHeight="1" x14ac:dyDescent="0.3">
      <c r="A205" s="6">
        <v>204</v>
      </c>
      <c r="B205" s="5" t="s">
        <v>71</v>
      </c>
      <c r="C205" s="5" t="str">
        <f>VLOOKUP(B205,Справочник!$A$2:$B$23,2,FALSE)</f>
        <v>Проиозводство Гравий</v>
      </c>
      <c r="D205" s="5" t="s">
        <v>73</v>
      </c>
      <c r="E205" s="5" t="str">
        <f>VLOOKUP(D205,Справочник!$D$2:$E$119,2,FALSE)</f>
        <v>Абдувохидов Чамшед Шарифчонович</v>
      </c>
      <c r="F205" s="2" t="s">
        <v>43</v>
      </c>
      <c r="G205" s="7" t="str">
        <f>VLOOKUP(F205,Справочник!$D$2:$E$119,2,FALSE)</f>
        <v>Собиров Аличон Лахаевич</v>
      </c>
      <c r="H205" s="2" t="s">
        <v>212</v>
      </c>
      <c r="I205" s="7" t="str">
        <f>VLOOKUP(H205,Справочник!$H$2:$I$164,2,FALSE)</f>
        <v>Сеганч</v>
      </c>
    </row>
    <row r="206" spans="1:9" ht="34.049999999999997" customHeight="1" x14ac:dyDescent="0.3">
      <c r="A206" s="5">
        <v>205</v>
      </c>
      <c r="B206" s="5" t="s">
        <v>71</v>
      </c>
      <c r="C206" s="5" t="str">
        <f>VLOOKUP(B206,Справочник!$A$2:$B$23,2,FALSE)</f>
        <v>Проиозводство Гравий</v>
      </c>
      <c r="D206" s="5" t="s">
        <v>73</v>
      </c>
      <c r="E206" s="5" t="str">
        <f>VLOOKUP(D206,Справочник!$D$2:$E$119,2,FALSE)</f>
        <v>Абдувохидов Чамшед Шарифчонович</v>
      </c>
      <c r="F206" s="2" t="s">
        <v>43</v>
      </c>
      <c r="G206" s="5" t="str">
        <f>VLOOKUP(F206,Справочник!$D$2:$E$119,2,FALSE)</f>
        <v>Собиров Аличон Лахаевич</v>
      </c>
      <c r="H206" s="2" t="s">
        <v>230</v>
      </c>
      <c r="I206" s="5" t="str">
        <f>VLOOKUP(H206,Справочник!$H$2:$I$164,2,FALSE)</f>
        <v>СомонСугд</v>
      </c>
    </row>
    <row r="207" spans="1:9" ht="34.049999999999997" customHeight="1" x14ac:dyDescent="0.3">
      <c r="A207" s="6">
        <v>206</v>
      </c>
      <c r="B207" s="5" t="s">
        <v>71</v>
      </c>
      <c r="C207" s="5" t="str">
        <f>VLOOKUP(B207,Справочник!$A$2:$B$23,2,FALSE)</f>
        <v>Проиозводство Гравий</v>
      </c>
      <c r="D207" s="5" t="s">
        <v>73</v>
      </c>
      <c r="E207" s="5" t="str">
        <f>VLOOKUP(D207,Справочник!$D$2:$E$119,2,FALSE)</f>
        <v>Абдувохидов Чамшед Шарифчонович</v>
      </c>
      <c r="F207" s="2" t="s">
        <v>43</v>
      </c>
      <c r="G207" s="7" t="str">
        <f>VLOOKUP(F207,Справочник!$D$2:$E$119,2,FALSE)</f>
        <v>Собиров Аличон Лахаевич</v>
      </c>
      <c r="H207" s="2" t="s">
        <v>231</v>
      </c>
      <c r="I207" s="7" t="str">
        <f>VLOOKUP(H207,Справочник!$H$2:$I$164,2,FALSE)</f>
        <v>Хочи Абдурахмон Рухак</v>
      </c>
    </row>
    <row r="208" spans="1:9" ht="34.049999999999997" customHeight="1" x14ac:dyDescent="0.3">
      <c r="A208" s="5">
        <v>207</v>
      </c>
      <c r="B208" s="5" t="s">
        <v>71</v>
      </c>
      <c r="C208" s="5" t="str">
        <f>VLOOKUP(B208,Справочник!$A$2:$B$23,2,FALSE)</f>
        <v>Проиозводство Гравий</v>
      </c>
      <c r="D208" s="5" t="s">
        <v>73</v>
      </c>
      <c r="E208" s="5" t="str">
        <f>VLOOKUP(D208,Справочник!$D$2:$E$119,2,FALSE)</f>
        <v>Абдувохидов Чамшед Шарифчонович</v>
      </c>
      <c r="F208" s="2" t="s">
        <v>43</v>
      </c>
      <c r="G208" s="5" t="str">
        <f>VLOOKUP(F208,Справочник!$D$2:$E$119,2,FALSE)</f>
        <v>Собиров Аличон Лахаевич</v>
      </c>
      <c r="H208" s="2" t="s">
        <v>232</v>
      </c>
      <c r="I208" s="5" t="str">
        <f>VLOOKUP(H208,Справочник!$H$2:$I$164,2,FALSE)</f>
        <v>Хочи Обид</v>
      </c>
    </row>
    <row r="209" spans="1:9" ht="34.049999999999997" customHeight="1" x14ac:dyDescent="0.3">
      <c r="A209" s="6">
        <v>208</v>
      </c>
      <c r="B209" s="5" t="s">
        <v>71</v>
      </c>
      <c r="C209" s="5" t="str">
        <f>VLOOKUP(B209,Справочник!$A$2:$B$23,2,FALSE)</f>
        <v>Проиозводство Гравий</v>
      </c>
      <c r="D209" s="5" t="s">
        <v>73</v>
      </c>
      <c r="E209" s="5" t="str">
        <f>VLOOKUP(D209,Справочник!$D$2:$E$119,2,FALSE)</f>
        <v>Абдувохидов Чамшед Шарифчонович</v>
      </c>
      <c r="F209" s="2" t="s">
        <v>43</v>
      </c>
      <c r="G209" s="7" t="str">
        <f>VLOOKUP(F209,Справочник!$D$2:$E$119,2,FALSE)</f>
        <v>Собиров Аличон Лахаевич</v>
      </c>
      <c r="H209" s="2" t="s">
        <v>233</v>
      </c>
      <c r="I209" s="7" t="str">
        <f>VLOOKUP(H209,Справочник!$H$2:$I$164,2,FALSE)</f>
        <v>ХочиОбид- Рухак</v>
      </c>
    </row>
    <row r="210" spans="1:9" ht="34.049999999999997" customHeight="1" x14ac:dyDescent="0.3">
      <c r="A210" s="5">
        <v>209</v>
      </c>
      <c r="B210" s="5" t="s">
        <v>71</v>
      </c>
      <c r="C210" s="5" t="str">
        <f>VLOOKUP(B210,Справочник!$A$2:$B$23,2,FALSE)</f>
        <v>Проиозводство Гравий</v>
      </c>
      <c r="D210" s="5" t="s">
        <v>73</v>
      </c>
      <c r="E210" s="5" t="str">
        <f>VLOOKUP(D210,Справочник!$D$2:$E$119,2,FALSE)</f>
        <v>Абдувохидов Чамшед Шарифчонович</v>
      </c>
      <c r="F210" s="2" t="s">
        <v>43</v>
      </c>
      <c r="G210" s="5" t="str">
        <f>VLOOKUP(F210,Справочник!$D$2:$E$119,2,FALSE)</f>
        <v>Собиров Аличон Лахаевич</v>
      </c>
      <c r="H210" s="2" t="s">
        <v>234</v>
      </c>
      <c r="I210" s="5" t="str">
        <f>VLOOKUP(H210,Справочник!$H$2:$I$164,2,FALSE)</f>
        <v>Чорчуй</v>
      </c>
    </row>
    <row r="211" spans="1:9" ht="34.049999999999997" customHeight="1" x14ac:dyDescent="0.3">
      <c r="A211" s="6">
        <v>210</v>
      </c>
      <c r="B211" s="5" t="s">
        <v>71</v>
      </c>
      <c r="C211" s="5" t="str">
        <f>VLOOKUP(B211,Справочник!$A$2:$B$23,2,FALSE)</f>
        <v>Проиозводство Гравий</v>
      </c>
      <c r="D211" s="5" t="s">
        <v>73</v>
      </c>
      <c r="E211" s="5" t="str">
        <f>VLOOKUP(D211,Справочник!$D$2:$E$119,2,FALSE)</f>
        <v>Абдувохидов Чамшед Шарифчонович</v>
      </c>
      <c r="F211" s="2" t="s">
        <v>43</v>
      </c>
      <c r="G211" s="7" t="str">
        <f>VLOOKUP(F211,Справочник!$D$2:$E$119,2,FALSE)</f>
        <v>Собиров Аличон Лахаевич</v>
      </c>
      <c r="H211" s="2" t="s">
        <v>235</v>
      </c>
      <c r="I211" s="7" t="str">
        <f>VLOOKUP(H211,Справочник!$H$2:$I$164,2,FALSE)</f>
        <v>Шароф Рухак-боли асфальт завод</v>
      </c>
    </row>
    <row r="212" spans="1:9" ht="19.95" customHeight="1" x14ac:dyDescent="0.3">
      <c r="A212" s="5">
        <v>211</v>
      </c>
      <c r="B212" s="5" t="s">
        <v>74</v>
      </c>
      <c r="C212" s="5" t="str">
        <f>VLOOKUP(B212,Справочник!$A$2:$B$23,2,FALSE)</f>
        <v>Служба Внутреннего аудита</v>
      </c>
      <c r="D212" s="5" t="s">
        <v>76</v>
      </c>
      <c r="E212" s="5" t="str">
        <f>VLOOKUP(D212,Справочник!$D$2:$E$119,2,FALSE)</f>
        <v>Рабиев Илхомджон Бобочонович</v>
      </c>
      <c r="F212" s="2" t="s">
        <v>35</v>
      </c>
      <c r="G212" s="5" t="str">
        <f>VLOOKUP(F212,Справочник!$D$2:$E$119,2,FALSE)</f>
        <v>Каримов Дилшодчон Зафарчонович</v>
      </c>
      <c r="H212" s="2" t="s">
        <v>144</v>
      </c>
      <c r="I212" s="5" t="str">
        <f>VLOOKUP(H212,Справочник!$H$2:$I$164,2,FALSE)</f>
        <v>Банк Эсхата</v>
      </c>
    </row>
    <row r="213" spans="1:9" ht="19.95" customHeight="1" x14ac:dyDescent="0.3">
      <c r="A213" s="6">
        <v>212</v>
      </c>
      <c r="B213" s="5" t="s">
        <v>74</v>
      </c>
      <c r="C213" s="5" t="str">
        <f>VLOOKUP(B213,Справочник!$A$2:$B$23,2,FALSE)</f>
        <v>Служба Внутреннего аудита</v>
      </c>
      <c r="D213" s="5" t="s">
        <v>76</v>
      </c>
      <c r="E213" s="5" t="str">
        <f>VLOOKUP(D213,Справочник!$D$2:$E$119,2,FALSE)</f>
        <v>Рабиев Илхомджон Бобочонович</v>
      </c>
      <c r="F213" s="2" t="s">
        <v>35</v>
      </c>
      <c r="G213" s="7" t="str">
        <f>VLOOKUP(F213,Справочник!$D$2:$E$119,2,FALSE)</f>
        <v>Каримов Дилшодчон Зафарчонович</v>
      </c>
      <c r="H213" s="2" t="s">
        <v>179</v>
      </c>
      <c r="I213" s="7" t="str">
        <f>VLOOKUP(H213,Справочник!$H$2:$I$164,2,FALSE)</f>
        <v>Группа компаний "Амид"</v>
      </c>
    </row>
    <row r="214" spans="1:9" ht="19.95" customHeight="1" x14ac:dyDescent="0.3">
      <c r="A214" s="5">
        <v>213</v>
      </c>
      <c r="B214" s="5" t="s">
        <v>74</v>
      </c>
      <c r="C214" s="5" t="str">
        <f>VLOOKUP(B214,Справочник!$A$2:$B$23,2,FALSE)</f>
        <v>Служба Внутреннего аудита</v>
      </c>
      <c r="D214" s="5" t="s">
        <v>76</v>
      </c>
      <c r="E214" s="5" t="str">
        <f>VLOOKUP(D214,Справочник!$D$2:$E$119,2,FALSE)</f>
        <v>Рабиев Илхомджон Бобочонович</v>
      </c>
      <c r="F214" s="2" t="s">
        <v>35</v>
      </c>
      <c r="G214" s="5" t="str">
        <f>VLOOKUP(F214,Справочник!$D$2:$E$119,2,FALSE)</f>
        <v>Каримов Дилшодчон Зафарчонович</v>
      </c>
      <c r="H214" s="2" t="s">
        <v>90</v>
      </c>
      <c r="I214" s="5" t="str">
        <f>VLOOKUP(H214,Справочник!$H$2:$I$164,2,FALSE)</f>
        <v>Далерон</v>
      </c>
    </row>
    <row r="215" spans="1:9" ht="19.95" customHeight="1" x14ac:dyDescent="0.3">
      <c r="A215" s="6">
        <v>214</v>
      </c>
      <c r="B215" s="5" t="s">
        <v>74</v>
      </c>
      <c r="C215" s="5" t="str">
        <f>VLOOKUP(B215,Справочник!$A$2:$B$23,2,FALSE)</f>
        <v>Служба Внутреннего аудита</v>
      </c>
      <c r="D215" s="5" t="s">
        <v>76</v>
      </c>
      <c r="E215" s="5" t="str">
        <f>VLOOKUP(D215,Справочник!$D$2:$E$119,2,FALSE)</f>
        <v>Рабиев Илхомджон Бобочонович</v>
      </c>
      <c r="F215" s="2" t="s">
        <v>35</v>
      </c>
      <c r="G215" s="7" t="str">
        <f>VLOOKUP(F215,Справочник!$D$2:$E$119,2,FALSE)</f>
        <v>Каримов Дилшодчон Зафарчонович</v>
      </c>
      <c r="H215" s="2" t="s">
        <v>84</v>
      </c>
      <c r="I215" s="7" t="str">
        <f>VLOOKUP(H215,Справочник!$H$2:$I$164,2,FALSE)</f>
        <v>ҶДММ "Орди Фатир"</v>
      </c>
    </row>
    <row r="216" spans="1:9" ht="19.95" customHeight="1" x14ac:dyDescent="0.3">
      <c r="A216" s="5">
        <v>215</v>
      </c>
      <c r="B216" s="5" t="s">
        <v>77</v>
      </c>
      <c r="C216" s="5" t="str">
        <f>VLOOKUP(B216,Справочник!$A$2:$B$23,2,FALSE)</f>
        <v>Финансовый департамент</v>
      </c>
      <c r="D216" s="5" t="s">
        <v>79</v>
      </c>
      <c r="E216" s="5" t="str">
        <f>VLOOKUP(D216,Справочник!$D$2:$E$119,2,FALSE)</f>
        <v>Бабаджанов Бахромхон</v>
      </c>
      <c r="F216" s="2" t="s">
        <v>80</v>
      </c>
      <c r="G216" s="5" t="str">
        <f>VLOOKUP(F216,Справочник!$D$2:$E$119,2,FALSE)</f>
        <v>Шукурова Мадинахон Анваровна</v>
      </c>
      <c r="H216" s="2" t="s">
        <v>142</v>
      </c>
      <c r="I216" s="5" t="str">
        <f>VLOOKUP(H216,Справочник!$H$2:$I$164,2,FALSE)</f>
        <v>Амид групп</v>
      </c>
    </row>
    <row r="217" spans="1:9" ht="19.95" customHeight="1" x14ac:dyDescent="0.3">
      <c r="A217" s="6">
        <v>216</v>
      </c>
      <c r="B217" s="5" t="s">
        <v>77</v>
      </c>
      <c r="C217" s="5" t="str">
        <f>VLOOKUP(B217,Справочник!$A$2:$B$23,2,FALSE)</f>
        <v>Финансовый департамент</v>
      </c>
      <c r="D217" s="5" t="s">
        <v>79</v>
      </c>
      <c r="E217" s="5" t="str">
        <f>VLOOKUP(D217,Справочник!$D$2:$E$119,2,FALSE)</f>
        <v>Бабаджанов Бахромхон</v>
      </c>
      <c r="F217" s="2" t="s">
        <v>80</v>
      </c>
      <c r="G217" s="7" t="str">
        <f>VLOOKUP(F217,Справочник!$D$2:$E$119,2,FALSE)</f>
        <v>Шукурова Мадинахон Анваровна</v>
      </c>
      <c r="H217" s="2" t="s">
        <v>143</v>
      </c>
      <c r="I217" s="7" t="str">
        <f>VLOOKUP(H217,Справочник!$H$2:$I$164,2,FALSE)</f>
        <v>АНТ</v>
      </c>
    </row>
    <row r="218" spans="1:9" ht="19.95" customHeight="1" x14ac:dyDescent="0.3">
      <c r="A218" s="5">
        <v>217</v>
      </c>
      <c r="B218" s="5" t="s">
        <v>77</v>
      </c>
      <c r="C218" s="5" t="str">
        <f>VLOOKUP(B218,Справочник!$A$2:$B$23,2,FALSE)</f>
        <v>Финансовый департамент</v>
      </c>
      <c r="D218" s="5" t="s">
        <v>79</v>
      </c>
      <c r="E218" s="5" t="str">
        <f>VLOOKUP(D218,Справочник!$D$2:$E$119,2,FALSE)</f>
        <v>Бабаджанов Бахромхон</v>
      </c>
      <c r="F218" s="2" t="s">
        <v>80</v>
      </c>
      <c r="G218" s="5" t="str">
        <f>VLOOKUP(F218,Справочник!$D$2:$E$119,2,FALSE)</f>
        <v>Шукурова Мадинахон Анваровна</v>
      </c>
      <c r="H218" s="2" t="s">
        <v>144</v>
      </c>
      <c r="I218" s="5" t="str">
        <f>VLOOKUP(H218,Справочник!$H$2:$I$164,2,FALSE)</f>
        <v>Банк Эсхата</v>
      </c>
    </row>
    <row r="219" spans="1:9" ht="19.95" customHeight="1" x14ac:dyDescent="0.3">
      <c r="A219" s="6">
        <v>218</v>
      </c>
      <c r="B219" s="5" t="s">
        <v>77</v>
      </c>
      <c r="C219" s="5" t="str">
        <f>VLOOKUP(B219,Справочник!$A$2:$B$23,2,FALSE)</f>
        <v>Финансовый департамент</v>
      </c>
      <c r="D219" s="5" t="s">
        <v>79</v>
      </c>
      <c r="E219" s="5" t="str">
        <f>VLOOKUP(D219,Справочник!$D$2:$E$119,2,FALSE)</f>
        <v>Бабаджанов Бахромхон</v>
      </c>
      <c r="F219" s="2" t="s">
        <v>80</v>
      </c>
      <c r="G219" s="7" t="str">
        <f>VLOOKUP(F219,Справочник!$D$2:$E$119,2,FALSE)</f>
        <v>Шукурова Мадинахон Анваровна</v>
      </c>
      <c r="H219" s="2" t="s">
        <v>236</v>
      </c>
      <c r="I219" s="7" t="str">
        <f>VLOOKUP(H219,Справочник!$H$2:$I$164,2,FALSE)</f>
        <v>Бонки "Эсхата"</v>
      </c>
    </row>
    <row r="220" spans="1:9" ht="19.95" customHeight="1" x14ac:dyDescent="0.3">
      <c r="A220" s="5">
        <v>219</v>
      </c>
      <c r="B220" s="5" t="s">
        <v>77</v>
      </c>
      <c r="C220" s="5" t="str">
        <f>VLOOKUP(B220,Справочник!$A$2:$B$23,2,FALSE)</f>
        <v>Финансовый департамент</v>
      </c>
      <c r="D220" s="5" t="s">
        <v>79</v>
      </c>
      <c r="E220" s="5" t="str">
        <f>VLOOKUP(D220,Справочник!$D$2:$E$119,2,FALSE)</f>
        <v>Бабаджанов Бахромхон</v>
      </c>
      <c r="F220" s="2" t="s">
        <v>80</v>
      </c>
      <c r="G220" s="5" t="str">
        <f>VLOOKUP(F220,Справочник!$D$2:$E$119,2,FALSE)</f>
        <v>Шукурова Мадинахон Анваровна</v>
      </c>
      <c r="H220" s="2" t="s">
        <v>237</v>
      </c>
      <c r="I220" s="5" t="str">
        <f>VLOOKUP(H220,Справочник!$H$2:$I$164,2,FALSE)</f>
        <v>Газойл Таджикистан</v>
      </c>
    </row>
    <row r="221" spans="1:9" ht="19.95" customHeight="1" x14ac:dyDescent="0.3">
      <c r="A221" s="6">
        <v>220</v>
      </c>
      <c r="B221" s="5" t="s">
        <v>77</v>
      </c>
      <c r="C221" s="5" t="str">
        <f>VLOOKUP(B221,Справочник!$A$2:$B$23,2,FALSE)</f>
        <v>Финансовый департамент</v>
      </c>
      <c r="D221" s="5" t="s">
        <v>79</v>
      </c>
      <c r="E221" s="5" t="str">
        <f>VLOOKUP(D221,Справочник!$D$2:$E$119,2,FALSE)</f>
        <v>Бабаджанов Бахромхон</v>
      </c>
      <c r="F221" s="2" t="s">
        <v>80</v>
      </c>
      <c r="G221" s="7" t="str">
        <f>VLOOKUP(F221,Справочник!$D$2:$E$119,2,FALSE)</f>
        <v>Шукурова Мадинахон Анваровна</v>
      </c>
      <c r="H221" s="2" t="s">
        <v>145</v>
      </c>
      <c r="I221" s="7" t="str">
        <f>VLOOKUP(H221,Справочник!$H$2:$I$164,2,FALSE)</f>
        <v>Группа компаний Бабаджанова И.</v>
      </c>
    </row>
    <row r="222" spans="1:9" ht="34.049999999999997" customHeight="1" x14ac:dyDescent="0.3">
      <c r="A222" s="5">
        <v>221</v>
      </c>
      <c r="B222" s="5" t="s">
        <v>77</v>
      </c>
      <c r="C222" s="5" t="str">
        <f>VLOOKUP(B222,Справочник!$A$2:$B$23,2,FALSE)</f>
        <v>Финансовый департамент</v>
      </c>
      <c r="D222" s="5" t="s">
        <v>79</v>
      </c>
      <c r="E222" s="5" t="str">
        <f>VLOOKUP(D222,Справочник!$D$2:$E$119,2,FALSE)</f>
        <v>Бабаджанов Бахромхон</v>
      </c>
      <c r="F222" s="2" t="s">
        <v>80</v>
      </c>
      <c r="G222" s="5" t="str">
        <f>VLOOKUP(F222,Справочник!$D$2:$E$119,2,FALSE)</f>
        <v>Шукурова Мадинахон Анваровна</v>
      </c>
      <c r="H222" s="2" t="s">
        <v>238</v>
      </c>
      <c r="I222" s="5" t="str">
        <f>VLOOKUP(H222,Справочник!$H$2:$I$164,2,FALSE)</f>
        <v>Дистрибьютерские компаниии как: "Лидер" и "Faiza"</v>
      </c>
    </row>
    <row r="223" spans="1:9" ht="19.95" customHeight="1" x14ac:dyDescent="0.3">
      <c r="A223" s="6">
        <v>222</v>
      </c>
      <c r="B223" s="5" t="s">
        <v>77</v>
      </c>
      <c r="C223" s="5" t="str">
        <f>VLOOKUP(B223,Справочник!$A$2:$B$23,2,FALSE)</f>
        <v>Финансовый департамент</v>
      </c>
      <c r="D223" s="5" t="s">
        <v>79</v>
      </c>
      <c r="E223" s="5" t="str">
        <f>VLOOKUP(D223,Справочник!$D$2:$E$119,2,FALSE)</f>
        <v>Бабаджанов Бахромхон</v>
      </c>
      <c r="F223" s="2" t="s">
        <v>80</v>
      </c>
      <c r="G223" s="7" t="str">
        <f>VLOOKUP(F223,Справочник!$D$2:$E$119,2,FALSE)</f>
        <v>Шукурова Мадинахон Анваровна</v>
      </c>
      <c r="H223" s="2" t="s">
        <v>239</v>
      </c>
      <c r="I223" s="7" t="str">
        <f>VLOOKUP(H223,Справочник!$H$2:$I$164,2,FALSE)</f>
        <v>Компания "Азизи"</v>
      </c>
    </row>
    <row r="224" spans="1:9" ht="19.95" customHeight="1" x14ac:dyDescent="0.3">
      <c r="A224" s="5">
        <v>223</v>
      </c>
      <c r="B224" s="5" t="s">
        <v>77</v>
      </c>
      <c r="C224" s="5" t="str">
        <f>VLOOKUP(B224,Справочник!$A$2:$B$23,2,FALSE)</f>
        <v>Финансовый департамент</v>
      </c>
      <c r="D224" s="5" t="s">
        <v>79</v>
      </c>
      <c r="E224" s="5" t="str">
        <f>VLOOKUP(D224,Справочник!$D$2:$E$119,2,FALSE)</f>
        <v>Бабаджанов Бахромхон</v>
      </c>
      <c r="F224" s="2" t="s">
        <v>80</v>
      </c>
      <c r="G224" s="5" t="str">
        <f>VLOOKUP(F224,Справочник!$D$2:$E$119,2,FALSE)</f>
        <v>Шукурова Мадинахон Анваровна</v>
      </c>
      <c r="H224" s="2" t="s">
        <v>240</v>
      </c>
      <c r="I224" s="5" t="str">
        <f>VLOOKUP(H224,Справочник!$H$2:$I$164,2,FALSE)</f>
        <v>Малочная радость</v>
      </c>
    </row>
    <row r="225" spans="1:9" ht="19.95" customHeight="1" x14ac:dyDescent="0.3">
      <c r="A225" s="6">
        <v>224</v>
      </c>
      <c r="B225" s="5" t="s">
        <v>77</v>
      </c>
      <c r="C225" s="5" t="str">
        <f>VLOOKUP(B225,Справочник!$A$2:$B$23,2,FALSE)</f>
        <v>Финансовый департамент</v>
      </c>
      <c r="D225" s="5" t="s">
        <v>79</v>
      </c>
      <c r="E225" s="5" t="str">
        <f>VLOOKUP(D225,Справочник!$D$2:$E$119,2,FALSE)</f>
        <v>Бабаджанов Бахромхон</v>
      </c>
      <c r="F225" s="2" t="s">
        <v>80</v>
      </c>
      <c r="G225" s="7" t="str">
        <f>VLOOKUP(F225,Справочник!$D$2:$E$119,2,FALSE)</f>
        <v>Шукурова Мадинахон Анваровна</v>
      </c>
      <c r="H225" s="2" t="s">
        <v>83</v>
      </c>
      <c r="I225" s="7" t="str">
        <f>VLOOKUP(H225,Справочник!$H$2:$I$164,2,FALSE)</f>
        <v>Молочная радость (Афзал)</v>
      </c>
    </row>
    <row r="226" spans="1:9" ht="19.95" customHeight="1" x14ac:dyDescent="0.3">
      <c r="A226" s="5">
        <v>225</v>
      </c>
      <c r="B226" s="5" t="s">
        <v>77</v>
      </c>
      <c r="C226" s="5" t="str">
        <f>VLOOKUP(B226,Справочник!$A$2:$B$23,2,FALSE)</f>
        <v>Финансовый департамент</v>
      </c>
      <c r="D226" s="5" t="s">
        <v>79</v>
      </c>
      <c r="E226" s="5" t="str">
        <f>VLOOKUP(D226,Справочник!$D$2:$E$119,2,FALSE)</f>
        <v>Бабаджанов Бахромхон</v>
      </c>
      <c r="F226" s="2" t="s">
        <v>80</v>
      </c>
      <c r="G226" s="5" t="str">
        <f>VLOOKUP(F226,Справочник!$D$2:$E$119,2,FALSE)</f>
        <v>Шукурова Мадинахон Анваровна</v>
      </c>
      <c r="H226" s="2" t="s">
        <v>241</v>
      </c>
      <c r="I226" s="5" t="str">
        <f>VLOOKUP(H226,Справочник!$H$2:$I$164,2,FALSE)</f>
        <v>Сугд нефт</v>
      </c>
    </row>
    <row r="227" spans="1:9" ht="19.95" customHeight="1" x14ac:dyDescent="0.3">
      <c r="A227" s="6">
        <v>226</v>
      </c>
      <c r="B227" s="5" t="s">
        <v>77</v>
      </c>
      <c r="C227" s="5" t="str">
        <f>VLOOKUP(B227,Справочник!$A$2:$B$23,2,FALSE)</f>
        <v>Финансовый департамент</v>
      </c>
      <c r="D227" s="5" t="s">
        <v>79</v>
      </c>
      <c r="E227" s="5" t="str">
        <f>VLOOKUP(D227,Справочник!$D$2:$E$119,2,FALSE)</f>
        <v>Бабаджанов Бахромхон</v>
      </c>
      <c r="F227" s="2" t="s">
        <v>80</v>
      </c>
      <c r="G227" s="7" t="str">
        <f>VLOOKUP(F227,Справочник!$D$2:$E$119,2,FALSE)</f>
        <v>Шукурова Мадинахон Анваровна</v>
      </c>
      <c r="H227" s="2" t="s">
        <v>242</v>
      </c>
      <c r="I227" s="7" t="str">
        <f>VLOOKUP(H227,Справочник!$H$2:$I$164,2,FALSE)</f>
        <v>Сугд сохтмон</v>
      </c>
    </row>
    <row r="228" spans="1:9" ht="19.95" customHeight="1" x14ac:dyDescent="0.3">
      <c r="A228" s="5">
        <v>227</v>
      </c>
      <c r="B228" s="5" t="s">
        <v>77</v>
      </c>
      <c r="C228" s="5" t="str">
        <f>VLOOKUP(B228,Справочник!$A$2:$B$23,2,FALSE)</f>
        <v>Финансовый департамент</v>
      </c>
      <c r="D228" s="5" t="s">
        <v>79</v>
      </c>
      <c r="E228" s="5" t="str">
        <f>VLOOKUP(D228,Справочник!$D$2:$E$119,2,FALSE)</f>
        <v>Бабаджанов Бахромхон</v>
      </c>
      <c r="F228" s="2" t="s">
        <v>80</v>
      </c>
      <c r="G228" s="5" t="str">
        <f>VLOOKUP(F228,Справочник!$D$2:$E$119,2,FALSE)</f>
        <v>Шукурова Мадинахон Анваровна</v>
      </c>
      <c r="H228" s="2" t="s">
        <v>243</v>
      </c>
      <c r="I228" s="5" t="str">
        <f>VLOOKUP(H228,Справочник!$H$2:$I$164,2,FALSE)</f>
        <v>Сугд цемент</v>
      </c>
    </row>
    <row r="229" spans="1:9" ht="19.95" customHeight="1" x14ac:dyDescent="0.3">
      <c r="A229" s="6">
        <v>228</v>
      </c>
      <c r="B229" s="5" t="s">
        <v>77</v>
      </c>
      <c r="C229" s="5" t="str">
        <f>VLOOKUP(B229,Справочник!$A$2:$B$23,2,FALSE)</f>
        <v>Финансовый департамент</v>
      </c>
      <c r="D229" s="5" t="s">
        <v>79</v>
      </c>
      <c r="E229" s="5" t="str">
        <f>VLOOKUP(D229,Справочник!$D$2:$E$119,2,FALSE)</f>
        <v>Бабаджанов Бахромхон</v>
      </c>
      <c r="F229" s="2" t="s">
        <v>80</v>
      </c>
      <c r="G229" s="7" t="str">
        <f>VLOOKUP(F229,Справочник!$D$2:$E$119,2,FALSE)</f>
        <v>Шукурова Мадинахон Анваровна</v>
      </c>
      <c r="H229" s="2" t="s">
        <v>244</v>
      </c>
      <c r="I229" s="7" t="str">
        <f>VLOOKUP(H229,Справочник!$H$2:$I$164,2,FALSE)</f>
        <v>Точ сохтмон</v>
      </c>
    </row>
    <row r="230" spans="1:9" ht="19.95" customHeight="1" x14ac:dyDescent="0.3">
      <c r="A230" s="5">
        <v>229</v>
      </c>
      <c r="B230" s="5" t="s">
        <v>77</v>
      </c>
      <c r="C230" s="5" t="str">
        <f>VLOOKUP(B230,Справочник!$A$2:$B$23,2,FALSE)</f>
        <v>Финансовый департамент</v>
      </c>
      <c r="D230" s="5" t="s">
        <v>79</v>
      </c>
      <c r="E230" s="5" t="str">
        <f>VLOOKUP(D230,Справочник!$D$2:$E$119,2,FALSE)</f>
        <v>Бабаджанов Бахромхон</v>
      </c>
      <c r="F230" s="2" t="s">
        <v>80</v>
      </c>
      <c r="G230" s="5" t="str">
        <f>VLOOKUP(F230,Справочник!$D$2:$E$119,2,FALSE)</f>
        <v>Шукурова Мадинахон Анваровна</v>
      </c>
      <c r="H230" s="2" t="s">
        <v>100</v>
      </c>
      <c r="I230" s="5" t="str">
        <f>VLOOKUP(H230,Справочник!$H$2:$I$164,2,FALSE)</f>
        <v>Файзи Расул</v>
      </c>
    </row>
    <row r="231" spans="1:9" ht="19.95" customHeight="1" x14ac:dyDescent="0.3">
      <c r="A231" s="6">
        <v>230</v>
      </c>
      <c r="B231" s="5" t="s">
        <v>77</v>
      </c>
      <c r="C231" s="5" t="str">
        <f>VLOOKUP(B231,Справочник!$A$2:$B$23,2,FALSE)</f>
        <v>Финансовый департамент</v>
      </c>
      <c r="D231" s="5" t="s">
        <v>79</v>
      </c>
      <c r="E231" s="5" t="str">
        <f>VLOOKUP(D231,Справочник!$D$2:$E$119,2,FALSE)</f>
        <v>Бабаджанов Бахромхон</v>
      </c>
      <c r="F231" s="2" t="s">
        <v>80</v>
      </c>
      <c r="G231" s="7" t="str">
        <f>VLOOKUP(F231,Справочник!$D$2:$E$119,2,FALSE)</f>
        <v>Шукурова Мадинахон Анваровна</v>
      </c>
      <c r="H231" s="2" t="s">
        <v>245</v>
      </c>
      <c r="I231" s="7" t="str">
        <f>VLOOKUP(H231,Справочник!$H$2:$I$164,2,FALSE)</f>
        <v>Хуаксин</v>
      </c>
    </row>
    <row r="232" spans="1:9" ht="19.95" customHeight="1" x14ac:dyDescent="0.3">
      <c r="A232" s="5">
        <v>231</v>
      </c>
      <c r="B232" s="5" t="s">
        <v>77</v>
      </c>
      <c r="C232" s="5" t="str">
        <f>VLOOKUP(B232,Справочник!$A$2:$B$23,2,FALSE)</f>
        <v>Финансовый департамент</v>
      </c>
      <c r="D232" s="5" t="s">
        <v>79</v>
      </c>
      <c r="E232" s="5" t="str">
        <f>VLOOKUP(D232,Справочник!$D$2:$E$119,2,FALSE)</f>
        <v>Бабаджанов Бахромхон</v>
      </c>
      <c r="F232" s="2" t="s">
        <v>80</v>
      </c>
      <c r="G232" s="5" t="str">
        <f>VLOOKUP(F232,Справочник!$D$2:$E$119,2,FALSE)</f>
        <v>Шукурова Мадинахон Анваровна</v>
      </c>
      <c r="H232" s="2" t="s">
        <v>146</v>
      </c>
      <c r="I232" s="5" t="str">
        <f>VLOOKUP(H232,Справочник!$H$2:$I$164,2,FALSE)</f>
        <v>LEGA</v>
      </c>
    </row>
  </sheetData>
  <autoFilter ref="A1:I1" xr:uid="{00000000-0009-0000-0000-000001000000}"/>
  <pageMargins left="0.7" right="0.7" top="0.75" bottom="0.75" header="0.3" footer="0.3"/>
  <pageSetup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4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42.88671875" defaultRowHeight="14.4" customHeight="1" x14ac:dyDescent="0.3"/>
  <cols>
    <col min="1" max="1" width="7.5546875" style="4" bestFit="1" customWidth="1"/>
    <col min="2" max="2" width="20" style="4" bestFit="1" customWidth="1"/>
    <col min="3" max="3" width="40.21875" style="4" bestFit="1" customWidth="1"/>
    <col min="4" max="4" width="20.6640625" style="4" bestFit="1" customWidth="1"/>
    <col min="5" max="5" width="37.21875" style="4" bestFit="1" customWidth="1"/>
    <col min="6" max="6" width="18.109375" style="4" bestFit="1" customWidth="1"/>
    <col min="7" max="7" width="43.109375" style="4" bestFit="1" customWidth="1"/>
    <col min="8" max="16384" width="42.88671875" style="4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246</v>
      </c>
      <c r="G1" s="1" t="s">
        <v>247</v>
      </c>
    </row>
    <row r="2" spans="1:7" ht="19.95" customHeight="1" x14ac:dyDescent="0.3">
      <c r="A2" s="5">
        <v>1</v>
      </c>
      <c r="B2" s="5" t="s">
        <v>10</v>
      </c>
      <c r="C2" s="5" t="str">
        <f>VLOOKUP(B2,Справочник!$A$2:$B$23,2,FALSE)</f>
        <v>Главная лаборатория</v>
      </c>
      <c r="D2" s="5" t="s">
        <v>12</v>
      </c>
      <c r="E2" s="5" t="str">
        <f>VLOOKUP(D2,Справочник!$D$2:$E$119,2,FALSE)</f>
        <v>Исломов Чамшед Абдукахорович</v>
      </c>
      <c r="F2" s="2" t="s">
        <v>248</v>
      </c>
      <c r="G2" s="5" t="str">
        <f>VLOOKUP(F2,Справочник!$K$2:$L$245,2,FALSE)</f>
        <v>ведущий Лаборант</v>
      </c>
    </row>
    <row r="3" spans="1:7" ht="19.95" customHeight="1" x14ac:dyDescent="0.3">
      <c r="A3" s="6">
        <v>2</v>
      </c>
      <c r="B3" s="5" t="s">
        <v>10</v>
      </c>
      <c r="C3" s="5" t="str">
        <f>VLOOKUP(B3,Справочник!$A$2:$B$23,2,FALSE)</f>
        <v>Главная лаборатория</v>
      </c>
      <c r="D3" s="5" t="s">
        <v>12</v>
      </c>
      <c r="E3" s="7" t="str">
        <f>VLOOKUP(D3,Справочник!$D$2:$E$119,2,FALSE)</f>
        <v>Исломов Чамшед Абдукахорович</v>
      </c>
      <c r="F3" s="2" t="s">
        <v>249</v>
      </c>
      <c r="G3" s="7" t="str">
        <f>VLOOKUP(F3,Справочник!$K$2:$L$245,2,FALSE)</f>
        <v>врач-лаборант</v>
      </c>
    </row>
    <row r="4" spans="1:7" ht="19.95" customHeight="1" x14ac:dyDescent="0.3">
      <c r="A4" s="5">
        <v>3</v>
      </c>
      <c r="B4" s="5" t="s">
        <v>10</v>
      </c>
      <c r="C4" s="5" t="str">
        <f>VLOOKUP(B4,Справочник!$A$2:$B$23,2,FALSE)</f>
        <v>Главная лаборатория</v>
      </c>
      <c r="D4" s="5" t="s">
        <v>12</v>
      </c>
      <c r="E4" s="5" t="str">
        <f>VLOOKUP(D4,Справочник!$D$2:$E$119,2,FALSE)</f>
        <v>Исломов Чамшед Абдукахорович</v>
      </c>
      <c r="F4" s="2" t="s">
        <v>250</v>
      </c>
      <c r="G4" s="5" t="str">
        <f>VLOOKUP(F4,Справочник!$K$2:$L$245,2,FALSE)</f>
        <v>Заведующий лабораторией</v>
      </c>
    </row>
    <row r="5" spans="1:7" ht="19.95" customHeight="1" x14ac:dyDescent="0.3">
      <c r="A5" s="6">
        <v>4</v>
      </c>
      <c r="B5" s="5" t="s">
        <v>10</v>
      </c>
      <c r="C5" s="5" t="str">
        <f>VLOOKUP(B5,Справочник!$A$2:$B$23,2,FALSE)</f>
        <v>Главная лаборатория</v>
      </c>
      <c r="D5" s="5" t="s">
        <v>12</v>
      </c>
      <c r="E5" s="7" t="str">
        <f>VLOOKUP(D5,Справочник!$D$2:$E$119,2,FALSE)</f>
        <v>Исломов Чамшед Абдукахорович</v>
      </c>
      <c r="F5" s="2" t="s">
        <v>251</v>
      </c>
      <c r="G5" s="7" t="str">
        <f>VLOOKUP(F5,Справочник!$K$2:$L$245,2,FALSE)</f>
        <v>инжинер по качеству</v>
      </c>
    </row>
    <row r="6" spans="1:7" ht="19.95" customHeight="1" x14ac:dyDescent="0.3">
      <c r="A6" s="5">
        <v>5</v>
      </c>
      <c r="B6" s="5" t="s">
        <v>10</v>
      </c>
      <c r="C6" s="5" t="str">
        <f>VLOOKUP(B6,Справочник!$A$2:$B$23,2,FALSE)</f>
        <v>Главная лаборатория</v>
      </c>
      <c r="D6" s="5" t="s">
        <v>12</v>
      </c>
      <c r="E6" s="5" t="str">
        <f>VLOOKUP(D6,Справочник!$D$2:$E$119,2,FALSE)</f>
        <v>Исломов Чамшед Абдукахорович</v>
      </c>
      <c r="F6" s="2" t="s">
        <v>252</v>
      </c>
      <c r="G6" s="5" t="str">
        <f>VLOOKUP(F6,Справочник!$K$2:$L$245,2,FALSE)</f>
        <v>Лаборант</v>
      </c>
    </row>
    <row r="7" spans="1:7" ht="19.95" customHeight="1" x14ac:dyDescent="0.3">
      <c r="A7" s="6">
        <v>6</v>
      </c>
      <c r="B7" s="5" t="s">
        <v>10</v>
      </c>
      <c r="C7" s="5" t="str">
        <f>VLOOKUP(B7,Справочник!$A$2:$B$23,2,FALSE)</f>
        <v>Главная лаборатория</v>
      </c>
      <c r="D7" s="5" t="s">
        <v>12</v>
      </c>
      <c r="E7" s="7" t="str">
        <f>VLOOKUP(D7,Справочник!$D$2:$E$119,2,FALSE)</f>
        <v>Исломов Чамшед Абдукахорович</v>
      </c>
      <c r="F7" s="2" t="s">
        <v>253</v>
      </c>
      <c r="G7" s="7" t="str">
        <f>VLOOKUP(F7,Справочник!$K$2:$L$245,2,FALSE)</f>
        <v>Менеджер</v>
      </c>
    </row>
    <row r="8" spans="1:7" ht="19.95" customHeight="1" x14ac:dyDescent="0.3">
      <c r="A8" s="5">
        <v>7</v>
      </c>
      <c r="B8" s="5" t="s">
        <v>10</v>
      </c>
      <c r="C8" s="5" t="str">
        <f>VLOOKUP(B8,Справочник!$A$2:$B$23,2,FALSE)</f>
        <v>Главная лаборатория</v>
      </c>
      <c r="D8" s="5" t="s">
        <v>12</v>
      </c>
      <c r="E8" s="5" t="str">
        <f>VLOOKUP(D8,Справочник!$D$2:$E$119,2,FALSE)</f>
        <v>Исломов Чамшед Абдукахорович</v>
      </c>
      <c r="F8" s="2" t="s">
        <v>254</v>
      </c>
      <c r="G8" s="5" t="str">
        <f>VLOOKUP(F8,Справочник!$K$2:$L$245,2,FALSE)</f>
        <v>микробиолог</v>
      </c>
    </row>
    <row r="9" spans="1:7" ht="19.95" customHeight="1" x14ac:dyDescent="0.3">
      <c r="A9" s="6">
        <v>8</v>
      </c>
      <c r="B9" s="5" t="s">
        <v>10</v>
      </c>
      <c r="C9" s="5" t="str">
        <f>VLOOKUP(B9,Справочник!$A$2:$B$23,2,FALSE)</f>
        <v>Главная лаборатория</v>
      </c>
      <c r="D9" s="5" t="s">
        <v>12</v>
      </c>
      <c r="E9" s="7" t="str">
        <f>VLOOKUP(D9,Справочник!$D$2:$E$119,2,FALSE)</f>
        <v>Исломов Чамшед Абдукахорович</v>
      </c>
      <c r="F9" s="2" t="s">
        <v>255</v>
      </c>
      <c r="G9" s="7" t="str">
        <f>VLOOKUP(F9,Справочник!$K$2:$L$245,2,FALSE)</f>
        <v>Начальник отдела</v>
      </c>
    </row>
    <row r="10" spans="1:7" ht="19.95" customHeight="1" x14ac:dyDescent="0.3">
      <c r="A10" s="5">
        <v>9</v>
      </c>
      <c r="B10" s="5" t="s">
        <v>10</v>
      </c>
      <c r="C10" s="5" t="str">
        <f>VLOOKUP(B10,Справочник!$A$2:$B$23,2,FALSE)</f>
        <v>Главная лаборатория</v>
      </c>
      <c r="D10" s="5" t="s">
        <v>12</v>
      </c>
      <c r="E10" s="5" t="str">
        <f>VLOOKUP(D10,Справочник!$D$2:$E$119,2,FALSE)</f>
        <v>Исломов Чамшед Абдукахорович</v>
      </c>
      <c r="F10" s="2" t="s">
        <v>256</v>
      </c>
      <c r="G10" s="5" t="str">
        <f>VLOOKUP(F10,Справочник!$K$2:$L$245,2,FALSE)</f>
        <v>Пекарь</v>
      </c>
    </row>
    <row r="11" spans="1:7" ht="19.95" customHeight="1" x14ac:dyDescent="0.3">
      <c r="A11" s="6">
        <v>10</v>
      </c>
      <c r="B11" s="5" t="s">
        <v>10</v>
      </c>
      <c r="C11" s="5" t="str">
        <f>VLOOKUP(B11,Справочник!$A$2:$B$23,2,FALSE)</f>
        <v>Главная лаборатория</v>
      </c>
      <c r="D11" s="5" t="s">
        <v>12</v>
      </c>
      <c r="E11" s="7" t="str">
        <f>VLOOKUP(D11,Справочник!$D$2:$E$119,2,FALSE)</f>
        <v>Исломов Чамшед Абдукахорович</v>
      </c>
      <c r="F11" s="2" t="s">
        <v>257</v>
      </c>
      <c r="G11" s="7" t="str">
        <f>VLOOKUP(F11,Справочник!$K$2:$L$245,2,FALSE)</f>
        <v>Руководитель</v>
      </c>
    </row>
    <row r="12" spans="1:7" ht="19.95" customHeight="1" x14ac:dyDescent="0.3">
      <c r="A12" s="5">
        <v>11</v>
      </c>
      <c r="B12" s="5" t="s">
        <v>10</v>
      </c>
      <c r="C12" s="5" t="str">
        <f>VLOOKUP(B12,Справочник!$A$2:$B$23,2,FALSE)</f>
        <v>Главная лаборатория</v>
      </c>
      <c r="D12" s="5" t="s">
        <v>12</v>
      </c>
      <c r="E12" s="5" t="str">
        <f>VLOOKUP(D12,Справочник!$D$2:$E$119,2,FALSE)</f>
        <v>Исломов Чамшед Абдукахорович</v>
      </c>
      <c r="F12" s="2" t="s">
        <v>258</v>
      </c>
      <c r="G12" s="5" t="str">
        <f>VLOOKUP(F12,Справочник!$K$2:$L$245,2,FALSE)</f>
        <v>Специалист ОТК</v>
      </c>
    </row>
    <row r="13" spans="1:7" ht="19.95" customHeight="1" x14ac:dyDescent="0.3">
      <c r="A13" s="6">
        <v>12</v>
      </c>
      <c r="B13" s="5" t="s">
        <v>10</v>
      </c>
      <c r="C13" s="5" t="str">
        <f>VLOOKUP(B13,Справочник!$A$2:$B$23,2,FALSE)</f>
        <v>Главная лаборатория</v>
      </c>
      <c r="D13" s="5" t="s">
        <v>12</v>
      </c>
      <c r="E13" s="7" t="str">
        <f>VLOOKUP(D13,Справочник!$D$2:$E$119,2,FALSE)</f>
        <v>Исломов Чамшед Абдукахорович</v>
      </c>
      <c r="F13" s="2" t="s">
        <v>259</v>
      </c>
      <c r="G13" s="7" t="str">
        <f>VLOOKUP(F13,Справочник!$K$2:$L$245,2,FALSE)</f>
        <v>Старший лаборант</v>
      </c>
    </row>
    <row r="14" spans="1:7" ht="19.95" customHeight="1" x14ac:dyDescent="0.3">
      <c r="A14" s="5">
        <v>13</v>
      </c>
      <c r="B14" s="5" t="s">
        <v>10</v>
      </c>
      <c r="C14" s="5" t="str">
        <f>VLOOKUP(B14,Справочник!$A$2:$B$23,2,FALSE)</f>
        <v>Главная лаборатория</v>
      </c>
      <c r="D14" s="5" t="s">
        <v>12</v>
      </c>
      <c r="E14" s="5" t="str">
        <f>VLOOKUP(D14,Справочник!$D$2:$E$119,2,FALSE)</f>
        <v>Исломов Чамшед Абдукахорович</v>
      </c>
      <c r="F14" s="2" t="s">
        <v>260</v>
      </c>
      <c r="G14" s="5" t="str">
        <f>VLOOKUP(F14,Справочник!$K$2:$L$245,2,FALSE)</f>
        <v>технический работник</v>
      </c>
    </row>
    <row r="15" spans="1:7" ht="34.049999999999997" customHeight="1" x14ac:dyDescent="0.3">
      <c r="A15" s="6">
        <v>14</v>
      </c>
      <c r="B15" s="5" t="s">
        <v>14</v>
      </c>
      <c r="C15" s="5" t="str">
        <f>VLOOKUP(B15,Справочник!$A$2:$B$23,2,FALSE)</f>
        <v>Департамент бройлерного направления</v>
      </c>
      <c r="D15" s="5" t="s">
        <v>16</v>
      </c>
      <c r="E15" s="7" t="str">
        <f>VLOOKUP(D15,Справочник!$D$2:$E$119,2,FALSE)</f>
        <v>Рустамов Рахимджон Мухамадович</v>
      </c>
      <c r="F15" s="2" t="s">
        <v>261</v>
      </c>
      <c r="G15" s="7" t="str">
        <f>VLOOKUP(F15,Справочник!$K$2:$L$245,2,FALSE)</f>
        <v>Аналитик</v>
      </c>
    </row>
    <row r="16" spans="1:7" ht="34.049999999999997" customHeight="1" x14ac:dyDescent="0.3">
      <c r="A16" s="5">
        <v>15</v>
      </c>
      <c r="B16" s="5" t="s">
        <v>14</v>
      </c>
      <c r="C16" s="5" t="str">
        <f>VLOOKUP(B16,Справочник!$A$2:$B$23,2,FALSE)</f>
        <v>Департамент бройлерного направления</v>
      </c>
      <c r="D16" s="5" t="s">
        <v>16</v>
      </c>
      <c r="E16" s="5" t="str">
        <f>VLOOKUP(D16,Справочник!$D$2:$E$119,2,FALSE)</f>
        <v>Рустамов Рахимджон Мухамадович</v>
      </c>
      <c r="F16" s="2" t="s">
        <v>262</v>
      </c>
      <c r="G16" s="5" t="str">
        <f>VLOOKUP(F16,Справочник!$K$2:$L$245,2,FALSE)</f>
        <v>вакцинатор</v>
      </c>
    </row>
    <row r="17" spans="1:7" ht="34.049999999999997" customHeight="1" x14ac:dyDescent="0.3">
      <c r="A17" s="6">
        <v>16</v>
      </c>
      <c r="B17" s="5" t="s">
        <v>14</v>
      </c>
      <c r="C17" s="5" t="str">
        <f>VLOOKUP(B17,Справочник!$A$2:$B$23,2,FALSE)</f>
        <v>Департамент бройлерного направления</v>
      </c>
      <c r="D17" s="5" t="s">
        <v>16</v>
      </c>
      <c r="E17" s="7" t="str">
        <f>VLOOKUP(D17,Справочник!$D$2:$E$119,2,FALSE)</f>
        <v>Рустамов Рахимджон Мухамадович</v>
      </c>
      <c r="F17" s="2" t="s">
        <v>263</v>
      </c>
      <c r="G17" s="7" t="str">
        <f>VLOOKUP(F17,Справочник!$K$2:$L$245,2,FALSE)</f>
        <v>Ведущий инспектор операционого контроля</v>
      </c>
    </row>
    <row r="18" spans="1:7" ht="34.049999999999997" customHeight="1" x14ac:dyDescent="0.3">
      <c r="A18" s="5">
        <v>17</v>
      </c>
      <c r="B18" s="5" t="s">
        <v>14</v>
      </c>
      <c r="C18" s="5" t="str">
        <f>VLOOKUP(B18,Справочник!$A$2:$B$23,2,FALSE)</f>
        <v>Департамент бройлерного направления</v>
      </c>
      <c r="D18" s="5" t="s">
        <v>16</v>
      </c>
      <c r="E18" s="5" t="str">
        <f>VLOOKUP(D18,Справочник!$D$2:$E$119,2,FALSE)</f>
        <v>Рустамов Рахимджон Мухамадович</v>
      </c>
      <c r="F18" s="2" t="s">
        <v>264</v>
      </c>
      <c r="G18" s="5" t="str">
        <f>VLOOKUP(F18,Справочник!$K$2:$L$245,2,FALSE)</f>
        <v>Ветеринарно-санитарный врач</v>
      </c>
    </row>
    <row r="19" spans="1:7" ht="34.049999999999997" customHeight="1" x14ac:dyDescent="0.3">
      <c r="A19" s="6">
        <v>18</v>
      </c>
      <c r="B19" s="5" t="s">
        <v>14</v>
      </c>
      <c r="C19" s="5" t="str">
        <f>VLOOKUP(B19,Справочник!$A$2:$B$23,2,FALSE)</f>
        <v>Департамент бройлерного направления</v>
      </c>
      <c r="D19" s="5" t="s">
        <v>16</v>
      </c>
      <c r="E19" s="7" t="str">
        <f>VLOOKUP(D19,Справочник!$D$2:$E$119,2,FALSE)</f>
        <v>Рустамов Рахимджон Мухамадович</v>
      </c>
      <c r="F19" s="2" t="s">
        <v>265</v>
      </c>
      <c r="G19" s="7" t="str">
        <f>VLOOKUP(F19,Справочник!$K$2:$L$245,2,FALSE)</f>
        <v>Ветеринарный врач</v>
      </c>
    </row>
    <row r="20" spans="1:7" ht="34.049999999999997" customHeight="1" x14ac:dyDescent="0.3">
      <c r="A20" s="5">
        <v>19</v>
      </c>
      <c r="B20" s="5" t="s">
        <v>14</v>
      </c>
      <c r="C20" s="5" t="str">
        <f>VLOOKUP(B20,Справочник!$A$2:$B$23,2,FALSE)</f>
        <v>Департамент бройлерного направления</v>
      </c>
      <c r="D20" s="5" t="s">
        <v>16</v>
      </c>
      <c r="E20" s="5" t="str">
        <f>VLOOKUP(D20,Справочник!$D$2:$E$119,2,FALSE)</f>
        <v>Рустамов Рахимджон Мухамадович</v>
      </c>
      <c r="F20" s="2" t="s">
        <v>266</v>
      </c>
      <c r="G20" s="5" t="str">
        <f>VLOOKUP(F20,Справочник!$K$2:$L$245,2,FALSE)</f>
        <v>Водитель</v>
      </c>
    </row>
    <row r="21" spans="1:7" ht="34.049999999999997" customHeight="1" x14ac:dyDescent="0.3">
      <c r="A21" s="6">
        <v>20</v>
      </c>
      <c r="B21" s="5" t="s">
        <v>14</v>
      </c>
      <c r="C21" s="5" t="str">
        <f>VLOOKUP(B21,Справочник!$A$2:$B$23,2,FALSE)</f>
        <v>Департамент бройлерного направления</v>
      </c>
      <c r="D21" s="5" t="s">
        <v>16</v>
      </c>
      <c r="E21" s="7" t="str">
        <f>VLOOKUP(D21,Справочник!$D$2:$E$119,2,FALSE)</f>
        <v>Рустамов Рахимджон Мухамадович</v>
      </c>
      <c r="F21" s="2" t="s">
        <v>267</v>
      </c>
      <c r="G21" s="7" t="str">
        <f>VLOOKUP(F21,Справочник!$K$2:$L$245,2,FALSE)</f>
        <v>Водитель электропоргузчика</v>
      </c>
    </row>
    <row r="22" spans="1:7" ht="34.049999999999997" customHeight="1" x14ac:dyDescent="0.3">
      <c r="A22" s="5">
        <v>21</v>
      </c>
      <c r="B22" s="5" t="s">
        <v>14</v>
      </c>
      <c r="C22" s="5" t="str">
        <f>VLOOKUP(B22,Справочник!$A$2:$B$23,2,FALSE)</f>
        <v>Департамент бройлерного направления</v>
      </c>
      <c r="D22" s="5" t="s">
        <v>16</v>
      </c>
      <c r="E22" s="5" t="str">
        <f>VLOOKUP(D22,Справочник!$D$2:$E$119,2,FALSE)</f>
        <v>Рустамов Рахимджон Мухамадович</v>
      </c>
      <c r="F22" s="2" t="s">
        <v>268</v>
      </c>
      <c r="G22" s="5" t="str">
        <f>VLOOKUP(F22,Справочник!$K$2:$L$245,2,FALSE)</f>
        <v>Вспомогательный работник</v>
      </c>
    </row>
    <row r="23" spans="1:7" ht="34.049999999999997" customHeight="1" x14ac:dyDescent="0.3">
      <c r="A23" s="6">
        <v>22</v>
      </c>
      <c r="B23" s="5" t="s">
        <v>14</v>
      </c>
      <c r="C23" s="5" t="str">
        <f>VLOOKUP(B23,Справочник!$A$2:$B$23,2,FALSE)</f>
        <v>Департамент бройлерного направления</v>
      </c>
      <c r="D23" s="5" t="s">
        <v>16</v>
      </c>
      <c r="E23" s="7" t="str">
        <f>VLOOKUP(D23,Справочник!$D$2:$E$119,2,FALSE)</f>
        <v>Рустамов Рахимджон Мухамадович</v>
      </c>
      <c r="F23" s="2" t="s">
        <v>269</v>
      </c>
      <c r="G23" s="7" t="str">
        <f>VLOOKUP(F23,Справочник!$K$2:$L$245,2,FALSE)</f>
        <v>Главный ветеренарный врач</v>
      </c>
    </row>
    <row r="24" spans="1:7" ht="34.049999999999997" customHeight="1" x14ac:dyDescent="0.3">
      <c r="A24" s="5">
        <v>23</v>
      </c>
      <c r="B24" s="5" t="s">
        <v>14</v>
      </c>
      <c r="C24" s="5" t="str">
        <f>VLOOKUP(B24,Справочник!$A$2:$B$23,2,FALSE)</f>
        <v>Департамент бройлерного направления</v>
      </c>
      <c r="D24" s="5" t="s">
        <v>16</v>
      </c>
      <c r="E24" s="5" t="str">
        <f>VLOOKUP(D24,Справочник!$D$2:$E$119,2,FALSE)</f>
        <v>Рустамов Рахимджон Мухамадович</v>
      </c>
      <c r="F24" s="2" t="s">
        <v>270</v>
      </c>
      <c r="G24" s="5" t="str">
        <f>VLOOKUP(F24,Справочник!$K$2:$L$245,2,FALSE)</f>
        <v>Главный инженер</v>
      </c>
    </row>
    <row r="25" spans="1:7" ht="34.049999999999997" customHeight="1" x14ac:dyDescent="0.3">
      <c r="A25" s="6">
        <v>24</v>
      </c>
      <c r="B25" s="5" t="s">
        <v>14</v>
      </c>
      <c r="C25" s="5" t="str">
        <f>VLOOKUP(B25,Справочник!$A$2:$B$23,2,FALSE)</f>
        <v>Департамент бройлерного направления</v>
      </c>
      <c r="D25" s="5" t="s">
        <v>16</v>
      </c>
      <c r="E25" s="7" t="str">
        <f>VLOOKUP(D25,Справочник!$D$2:$E$119,2,FALSE)</f>
        <v>Рустамов Рахимджон Мухамадович</v>
      </c>
      <c r="F25" s="2" t="s">
        <v>271</v>
      </c>
      <c r="G25" s="7" t="str">
        <f>VLOOKUP(F25,Справочник!$K$2:$L$245,2,FALSE)</f>
        <v>Главный технолог</v>
      </c>
    </row>
    <row r="26" spans="1:7" ht="34.049999999999997" customHeight="1" x14ac:dyDescent="0.3">
      <c r="A26" s="5">
        <v>25</v>
      </c>
      <c r="B26" s="5" t="s">
        <v>14</v>
      </c>
      <c r="C26" s="5" t="str">
        <f>VLOOKUP(B26,Справочник!$A$2:$B$23,2,FALSE)</f>
        <v>Департамент бройлерного направления</v>
      </c>
      <c r="D26" s="5" t="s">
        <v>16</v>
      </c>
      <c r="E26" s="5" t="str">
        <f>VLOOKUP(D26,Справочник!$D$2:$E$119,2,FALSE)</f>
        <v>Рустамов Рахимджон Мухамадович</v>
      </c>
      <c r="F26" s="2" t="s">
        <v>272</v>
      </c>
      <c r="G26" s="5" t="str">
        <f>VLOOKUP(F26,Справочник!$K$2:$L$245,2,FALSE)</f>
        <v>Заведующий хозяйством</v>
      </c>
    </row>
    <row r="27" spans="1:7" ht="34.049999999999997" customHeight="1" x14ac:dyDescent="0.3">
      <c r="A27" s="6">
        <v>26</v>
      </c>
      <c r="B27" s="5" t="s">
        <v>14</v>
      </c>
      <c r="C27" s="5" t="str">
        <f>VLOOKUP(B27,Справочник!$A$2:$B$23,2,FALSE)</f>
        <v>Департамент бройлерного направления</v>
      </c>
      <c r="D27" s="5" t="s">
        <v>16</v>
      </c>
      <c r="E27" s="7" t="str">
        <f>VLOOKUP(D27,Справочник!$D$2:$E$119,2,FALSE)</f>
        <v>Рустамов Рахимджон Мухамадович</v>
      </c>
      <c r="F27" s="2" t="s">
        <v>273</v>
      </c>
      <c r="G27" s="7" t="str">
        <f>VLOOKUP(F27,Справочник!$K$2:$L$245,2,FALSE)</f>
        <v>закладчик яиц</v>
      </c>
    </row>
    <row r="28" spans="1:7" ht="34.049999999999997" customHeight="1" x14ac:dyDescent="0.3">
      <c r="A28" s="5">
        <v>27</v>
      </c>
      <c r="B28" s="5" t="s">
        <v>14</v>
      </c>
      <c r="C28" s="5" t="str">
        <f>VLOOKUP(B28,Справочник!$A$2:$B$23,2,FALSE)</f>
        <v>Департамент бройлерного направления</v>
      </c>
      <c r="D28" s="5" t="s">
        <v>16</v>
      </c>
      <c r="E28" s="5" t="str">
        <f>VLOOKUP(D28,Справочник!$D$2:$E$119,2,FALSE)</f>
        <v>Рустамов Рахимджон Мухамадович</v>
      </c>
      <c r="F28" s="2" t="s">
        <v>274</v>
      </c>
      <c r="G28" s="5" t="str">
        <f>VLOOKUP(F28,Справочник!$K$2:$L$245,2,FALSE)</f>
        <v>Заместитель руководителя</v>
      </c>
    </row>
    <row r="29" spans="1:7" ht="34.049999999999997" customHeight="1" x14ac:dyDescent="0.3">
      <c r="A29" s="6">
        <v>28</v>
      </c>
      <c r="B29" s="5" t="s">
        <v>14</v>
      </c>
      <c r="C29" s="5" t="str">
        <f>VLOOKUP(B29,Справочник!$A$2:$B$23,2,FALSE)</f>
        <v>Департамент бройлерного направления</v>
      </c>
      <c r="D29" s="5" t="s">
        <v>16</v>
      </c>
      <c r="E29" s="7" t="str">
        <f>VLOOKUP(D29,Справочник!$D$2:$E$119,2,FALSE)</f>
        <v>Рустамов Рахимджон Мухамадович</v>
      </c>
      <c r="F29" s="2" t="s">
        <v>275</v>
      </c>
      <c r="G29" s="7" t="str">
        <f>VLOOKUP(F29,Справочник!$K$2:$L$245,2,FALSE)</f>
        <v>Инженер вент, отопл, водоотведед, водоснабжение</v>
      </c>
    </row>
    <row r="30" spans="1:7" ht="34.049999999999997" customHeight="1" x14ac:dyDescent="0.3">
      <c r="A30" s="5">
        <v>29</v>
      </c>
      <c r="B30" s="5" t="s">
        <v>14</v>
      </c>
      <c r="C30" s="5" t="str">
        <f>VLOOKUP(B30,Справочник!$A$2:$B$23,2,FALSE)</f>
        <v>Департамент бройлерного направления</v>
      </c>
      <c r="D30" s="5" t="s">
        <v>16</v>
      </c>
      <c r="E30" s="5" t="str">
        <f>VLOOKUP(D30,Справочник!$D$2:$E$119,2,FALSE)</f>
        <v>Рустамов Рахимджон Мухамадович</v>
      </c>
      <c r="F30" s="2" t="s">
        <v>276</v>
      </c>
      <c r="G30" s="5" t="str">
        <f>VLOOKUP(F30,Справочник!$K$2:$L$245,2,FALSE)</f>
        <v>Инженер КиП и А - метролог</v>
      </c>
    </row>
    <row r="31" spans="1:7" ht="34.049999999999997" customHeight="1" x14ac:dyDescent="0.3">
      <c r="A31" s="6">
        <v>30</v>
      </c>
      <c r="B31" s="5" t="s">
        <v>14</v>
      </c>
      <c r="C31" s="5" t="str">
        <f>VLOOKUP(B31,Справочник!$A$2:$B$23,2,FALSE)</f>
        <v>Департамент бройлерного направления</v>
      </c>
      <c r="D31" s="5" t="s">
        <v>16</v>
      </c>
      <c r="E31" s="7" t="str">
        <f>VLOOKUP(D31,Справочник!$D$2:$E$119,2,FALSE)</f>
        <v>Рустамов Рахимджон Мухамадович</v>
      </c>
      <c r="F31" s="2" t="s">
        <v>277</v>
      </c>
      <c r="G31" s="7" t="str">
        <f>VLOOKUP(F31,Справочник!$K$2:$L$245,2,FALSE)</f>
        <v>Инженер КИПиА</v>
      </c>
    </row>
    <row r="32" spans="1:7" ht="34.049999999999997" customHeight="1" x14ac:dyDescent="0.3">
      <c r="A32" s="5">
        <v>31</v>
      </c>
      <c r="B32" s="5" t="s">
        <v>14</v>
      </c>
      <c r="C32" s="5" t="str">
        <f>VLOOKUP(B32,Справочник!$A$2:$B$23,2,FALSE)</f>
        <v>Департамент бройлерного направления</v>
      </c>
      <c r="D32" s="5" t="s">
        <v>16</v>
      </c>
      <c r="E32" s="5" t="str">
        <f>VLOOKUP(D32,Справочник!$D$2:$E$119,2,FALSE)</f>
        <v>Рустамов Рахимджон Мухамадович</v>
      </c>
      <c r="F32" s="2" t="s">
        <v>278</v>
      </c>
      <c r="G32" s="5" t="str">
        <f>VLOOKUP(F32,Справочник!$K$2:$L$245,2,FALSE)</f>
        <v>Инженер механик</v>
      </c>
    </row>
    <row r="33" spans="1:7" ht="34.049999999999997" customHeight="1" x14ac:dyDescent="0.3">
      <c r="A33" s="6">
        <v>32</v>
      </c>
      <c r="B33" s="5" t="s">
        <v>14</v>
      </c>
      <c r="C33" s="5" t="str">
        <f>VLOOKUP(B33,Справочник!$A$2:$B$23,2,FALSE)</f>
        <v>Департамент бройлерного направления</v>
      </c>
      <c r="D33" s="5" t="s">
        <v>16</v>
      </c>
      <c r="E33" s="7" t="str">
        <f>VLOOKUP(D33,Справочник!$D$2:$E$119,2,FALSE)</f>
        <v>Рустамов Рахимджон Мухамадович</v>
      </c>
      <c r="F33" s="2" t="s">
        <v>279</v>
      </c>
      <c r="G33" s="7" t="str">
        <f>VLOOKUP(F33,Справочник!$K$2:$L$245,2,FALSE)</f>
        <v>Инженер холодильщик (совмещение с КиПиА)</v>
      </c>
    </row>
    <row r="34" spans="1:7" ht="34.049999999999997" customHeight="1" x14ac:dyDescent="0.3">
      <c r="A34" s="5">
        <v>33</v>
      </c>
      <c r="B34" s="5" t="s">
        <v>14</v>
      </c>
      <c r="C34" s="5" t="str">
        <f>VLOOKUP(B34,Справочник!$A$2:$B$23,2,FALSE)</f>
        <v>Департамент бройлерного направления</v>
      </c>
      <c r="D34" s="5" t="s">
        <v>16</v>
      </c>
      <c r="E34" s="5" t="str">
        <f>VLOOKUP(D34,Справочник!$D$2:$E$119,2,FALSE)</f>
        <v>Рустамов Рахимджон Мухамадович</v>
      </c>
      <c r="F34" s="2" t="s">
        <v>280</v>
      </c>
      <c r="G34" s="5" t="str">
        <f>VLOOKUP(F34,Справочник!$K$2:$L$245,2,FALSE)</f>
        <v>Инженер электрик</v>
      </c>
    </row>
    <row r="35" spans="1:7" ht="34.049999999999997" customHeight="1" x14ac:dyDescent="0.3">
      <c r="A35" s="6">
        <v>34</v>
      </c>
      <c r="B35" s="5" t="s">
        <v>14</v>
      </c>
      <c r="C35" s="5" t="str">
        <f>VLOOKUP(B35,Справочник!$A$2:$B$23,2,FALSE)</f>
        <v>Департамент бройлерного направления</v>
      </c>
      <c r="D35" s="5" t="s">
        <v>16</v>
      </c>
      <c r="E35" s="7" t="str">
        <f>VLOOKUP(D35,Справочник!$D$2:$E$119,2,FALSE)</f>
        <v>Рустамов Рахимджон Мухамадович</v>
      </c>
      <c r="F35" s="2" t="s">
        <v>281</v>
      </c>
      <c r="G35" s="7" t="str">
        <f>VLOOKUP(F35,Справочник!$K$2:$L$245,2,FALSE)</f>
        <v>Инспектор по операционому контролю</v>
      </c>
    </row>
    <row r="36" spans="1:7" ht="34.049999999999997" customHeight="1" x14ac:dyDescent="0.3">
      <c r="A36" s="5">
        <v>35</v>
      </c>
      <c r="B36" s="5" t="s">
        <v>14</v>
      </c>
      <c r="C36" s="5" t="str">
        <f>VLOOKUP(B36,Справочник!$A$2:$B$23,2,FALSE)</f>
        <v>Департамент бройлерного направления</v>
      </c>
      <c r="D36" s="5" t="s">
        <v>16</v>
      </c>
      <c r="E36" s="5" t="str">
        <f>VLOOKUP(D36,Справочник!$D$2:$E$119,2,FALSE)</f>
        <v>Рустамов Рахимджон Мухамадович</v>
      </c>
      <c r="F36" s="2" t="s">
        <v>282</v>
      </c>
      <c r="G36" s="5" t="str">
        <f>VLOOKUP(F36,Справочник!$K$2:$L$245,2,FALSE)</f>
        <v>Лаборанты</v>
      </c>
    </row>
    <row r="37" spans="1:7" ht="34.049999999999997" customHeight="1" x14ac:dyDescent="0.3">
      <c r="A37" s="6">
        <v>36</v>
      </c>
      <c r="B37" s="5" t="s">
        <v>14</v>
      </c>
      <c r="C37" s="5" t="str">
        <f>VLOOKUP(B37,Справочник!$A$2:$B$23,2,FALSE)</f>
        <v>Департамент бройлерного направления</v>
      </c>
      <c r="D37" s="5" t="s">
        <v>16</v>
      </c>
      <c r="E37" s="7" t="str">
        <f>VLOOKUP(D37,Справочник!$D$2:$E$119,2,FALSE)</f>
        <v>Рустамов Рахимджон Мухамадович</v>
      </c>
      <c r="F37" s="2" t="s">
        <v>283</v>
      </c>
      <c r="G37" s="7" t="str">
        <f>VLOOKUP(F37,Справочник!$K$2:$L$245,2,FALSE)</f>
        <v>Мастер бригады мойщиков</v>
      </c>
    </row>
    <row r="38" spans="1:7" ht="34.049999999999997" customHeight="1" x14ac:dyDescent="0.3">
      <c r="A38" s="5">
        <v>37</v>
      </c>
      <c r="B38" s="5" t="s">
        <v>14</v>
      </c>
      <c r="C38" s="5" t="str">
        <f>VLOOKUP(B38,Справочник!$A$2:$B$23,2,FALSE)</f>
        <v>Департамент бройлерного направления</v>
      </c>
      <c r="D38" s="5" t="s">
        <v>16</v>
      </c>
      <c r="E38" s="5" t="str">
        <f>VLOOKUP(D38,Справочник!$D$2:$E$119,2,FALSE)</f>
        <v>Рустамов Рахимджон Мухамадович</v>
      </c>
      <c r="F38" s="2" t="s">
        <v>284</v>
      </c>
      <c r="G38" s="5" t="str">
        <f>VLOOKUP(F38,Справочник!$K$2:$L$245,2,FALSE)</f>
        <v>Мастер ЛОС</v>
      </c>
    </row>
    <row r="39" spans="1:7" ht="34.049999999999997" customHeight="1" x14ac:dyDescent="0.3">
      <c r="A39" s="6">
        <v>38</v>
      </c>
      <c r="B39" s="5" t="s">
        <v>14</v>
      </c>
      <c r="C39" s="5" t="str">
        <f>VLOOKUP(B39,Справочник!$A$2:$B$23,2,FALSE)</f>
        <v>Департамент бройлерного направления</v>
      </c>
      <c r="D39" s="5" t="s">
        <v>16</v>
      </c>
      <c r="E39" s="7" t="str">
        <f>VLOOKUP(D39,Справочник!$D$2:$E$119,2,FALSE)</f>
        <v>Рустамов Рахимджон Мухамадович</v>
      </c>
      <c r="F39" s="2" t="s">
        <v>285</v>
      </c>
      <c r="G39" s="7" t="str">
        <f>VLOOKUP(F39,Справочник!$K$2:$L$245,2,FALSE)</f>
        <v>Мастер тарного цеха</v>
      </c>
    </row>
    <row r="40" spans="1:7" ht="34.049999999999997" customHeight="1" x14ac:dyDescent="0.3">
      <c r="A40" s="5">
        <v>39</v>
      </c>
      <c r="B40" s="5" t="s">
        <v>14</v>
      </c>
      <c r="C40" s="5" t="str">
        <f>VLOOKUP(B40,Справочник!$A$2:$B$23,2,FALSE)</f>
        <v>Департамент бройлерного направления</v>
      </c>
      <c r="D40" s="5" t="s">
        <v>16</v>
      </c>
      <c r="E40" s="5" t="str">
        <f>VLOOKUP(D40,Справочник!$D$2:$E$119,2,FALSE)</f>
        <v>Рустамов Рахимджон Мухамадович</v>
      </c>
      <c r="F40" s="2" t="s">
        <v>286</v>
      </c>
      <c r="G40" s="5" t="str">
        <f>VLOOKUP(F40,Справочник!$K$2:$L$245,2,FALSE)</f>
        <v>Мастер участка обвалки</v>
      </c>
    </row>
    <row r="41" spans="1:7" ht="34.049999999999997" customHeight="1" x14ac:dyDescent="0.3">
      <c r="A41" s="6">
        <v>40</v>
      </c>
      <c r="B41" s="5" t="s">
        <v>14</v>
      </c>
      <c r="C41" s="5" t="str">
        <f>VLOOKUP(B41,Справочник!$A$2:$B$23,2,FALSE)</f>
        <v>Департамент бройлерного направления</v>
      </c>
      <c r="D41" s="5" t="s">
        <v>16</v>
      </c>
      <c r="E41" s="7" t="str">
        <f>VLOOKUP(D41,Справочник!$D$2:$E$119,2,FALSE)</f>
        <v>Рустамов Рахимджон Мухамадович</v>
      </c>
      <c r="F41" s="2" t="s">
        <v>287</v>
      </c>
      <c r="G41" s="7" t="str">
        <f>VLOOKUP(F41,Справочник!$K$2:$L$245,2,FALSE)</f>
        <v>Мастер участка приёмки</v>
      </c>
    </row>
    <row r="42" spans="1:7" ht="34.049999999999997" customHeight="1" x14ac:dyDescent="0.3">
      <c r="A42" s="5">
        <v>41</v>
      </c>
      <c r="B42" s="5" t="s">
        <v>14</v>
      </c>
      <c r="C42" s="5" t="str">
        <f>VLOOKUP(B42,Справочник!$A$2:$B$23,2,FALSE)</f>
        <v>Департамент бройлерного направления</v>
      </c>
      <c r="D42" s="5" t="s">
        <v>16</v>
      </c>
      <c r="E42" s="5" t="str">
        <f>VLOOKUP(D42,Справочник!$D$2:$E$119,2,FALSE)</f>
        <v>Рустамов Рахимджон Мухамадович</v>
      </c>
      <c r="F42" s="2" t="s">
        <v>288</v>
      </c>
      <c r="G42" s="5" t="str">
        <f>VLOOKUP(F42,Справочник!$K$2:$L$245,2,FALSE)</f>
        <v>Мастер участка разделки</v>
      </c>
    </row>
    <row r="43" spans="1:7" ht="34.049999999999997" customHeight="1" x14ac:dyDescent="0.3">
      <c r="A43" s="6">
        <v>42</v>
      </c>
      <c r="B43" s="5" t="s">
        <v>14</v>
      </c>
      <c r="C43" s="5" t="str">
        <f>VLOOKUP(B43,Справочник!$A$2:$B$23,2,FALSE)</f>
        <v>Департамент бройлерного направления</v>
      </c>
      <c r="D43" s="5" t="s">
        <v>16</v>
      </c>
      <c r="E43" s="7" t="str">
        <f>VLOOKUP(D43,Справочник!$D$2:$E$119,2,FALSE)</f>
        <v>Рустамов Рахимджон Мухамадович</v>
      </c>
      <c r="F43" s="2" t="s">
        <v>289</v>
      </c>
      <c r="G43" s="7" t="str">
        <f>VLOOKUP(F43,Справочник!$K$2:$L$245,2,FALSE)</f>
        <v>Мастер участка убоя и потрошения</v>
      </c>
    </row>
    <row r="44" spans="1:7" ht="34.049999999999997" customHeight="1" x14ac:dyDescent="0.3">
      <c r="A44" s="5">
        <v>43</v>
      </c>
      <c r="B44" s="5" t="s">
        <v>14</v>
      </c>
      <c r="C44" s="5" t="str">
        <f>VLOOKUP(B44,Справочник!$A$2:$B$23,2,FALSE)</f>
        <v>Департамент бройлерного направления</v>
      </c>
      <c r="D44" s="5" t="s">
        <v>16</v>
      </c>
      <c r="E44" s="5" t="str">
        <f>VLOOKUP(D44,Справочник!$D$2:$E$119,2,FALSE)</f>
        <v>Рустамов Рахимджон Мухамадович</v>
      </c>
      <c r="F44" s="2" t="s">
        <v>290</v>
      </c>
      <c r="G44" s="5" t="str">
        <f>VLOOKUP(F44,Справочник!$K$2:$L$245,2,FALSE)</f>
        <v>Мастер участок заморозки и перефасовки (чистая зона)-2 смены</v>
      </c>
    </row>
    <row r="45" spans="1:7" ht="34.049999999999997" customHeight="1" x14ac:dyDescent="0.3">
      <c r="A45" s="6">
        <v>44</v>
      </c>
      <c r="B45" s="5" t="s">
        <v>14</v>
      </c>
      <c r="C45" s="5" t="str">
        <f>VLOOKUP(B45,Справочник!$A$2:$B$23,2,FALSE)</f>
        <v>Департамент бройлерного направления</v>
      </c>
      <c r="D45" s="5" t="s">
        <v>16</v>
      </c>
      <c r="E45" s="7" t="str">
        <f>VLOOKUP(D45,Справочник!$D$2:$E$119,2,FALSE)</f>
        <v>Рустамов Рахимджон Мухамадович</v>
      </c>
      <c r="F45" s="2" t="s">
        <v>291</v>
      </c>
      <c r="G45" s="7" t="str">
        <f>VLOOKUP(F45,Справочник!$K$2:$L$245,2,FALSE)</f>
        <v>Мастер ЦПКМ (совмещение с КиП и А)</v>
      </c>
    </row>
    <row r="46" spans="1:7" ht="34.049999999999997" customHeight="1" x14ac:dyDescent="0.3">
      <c r="A46" s="5">
        <v>45</v>
      </c>
      <c r="B46" s="5" t="s">
        <v>14</v>
      </c>
      <c r="C46" s="5" t="str">
        <f>VLOOKUP(B46,Справочник!$A$2:$B$23,2,FALSE)</f>
        <v>Департамент бройлерного направления</v>
      </c>
      <c r="D46" s="5" t="s">
        <v>16</v>
      </c>
      <c r="E46" s="5" t="str">
        <f>VLOOKUP(D46,Справочник!$D$2:$E$119,2,FALSE)</f>
        <v>Рустамов Рахимджон Мухамадович</v>
      </c>
      <c r="F46" s="2" t="s">
        <v>292</v>
      </c>
      <c r="G46" s="5" t="str">
        <f>VLOOKUP(F46,Справочник!$K$2:$L$245,2,FALSE)</f>
        <v>Машинисты компрессорного цеха</v>
      </c>
    </row>
    <row r="47" spans="1:7" ht="34.049999999999997" customHeight="1" x14ac:dyDescent="0.3">
      <c r="A47" s="6">
        <v>46</v>
      </c>
      <c r="B47" s="5" t="s">
        <v>14</v>
      </c>
      <c r="C47" s="5" t="str">
        <f>VLOOKUP(B47,Справочник!$A$2:$B$23,2,FALSE)</f>
        <v>Департамент бройлерного направления</v>
      </c>
      <c r="D47" s="5" t="s">
        <v>16</v>
      </c>
      <c r="E47" s="7" t="str">
        <f>VLOOKUP(D47,Справочник!$D$2:$E$119,2,FALSE)</f>
        <v>Рустамов Рахимджон Мухамадович</v>
      </c>
      <c r="F47" s="2" t="s">
        <v>293</v>
      </c>
      <c r="G47" s="7" t="str">
        <f>VLOOKUP(F47,Справочник!$K$2:$L$245,2,FALSE)</f>
        <v>Менеджер проекта</v>
      </c>
    </row>
    <row r="48" spans="1:7" ht="34.049999999999997" customHeight="1" x14ac:dyDescent="0.3">
      <c r="A48" s="5">
        <v>47</v>
      </c>
      <c r="B48" s="5" t="s">
        <v>14</v>
      </c>
      <c r="C48" s="5" t="str">
        <f>VLOOKUP(B48,Справочник!$A$2:$B$23,2,FALSE)</f>
        <v>Департамент бройлерного направления</v>
      </c>
      <c r="D48" s="5" t="s">
        <v>16</v>
      </c>
      <c r="E48" s="5" t="str">
        <f>VLOOKUP(D48,Справочник!$D$2:$E$119,2,FALSE)</f>
        <v>Рустамов Рахимджон Мухамадович</v>
      </c>
      <c r="F48" s="2" t="s">
        <v>294</v>
      </c>
      <c r="G48" s="5" t="str">
        <f>VLOOKUP(F48,Справочник!$K$2:$L$245,2,FALSE)</f>
        <v>Механик</v>
      </c>
    </row>
    <row r="49" spans="1:7" ht="34.049999999999997" customHeight="1" x14ac:dyDescent="0.3">
      <c r="A49" s="6">
        <v>48</v>
      </c>
      <c r="B49" s="5" t="s">
        <v>14</v>
      </c>
      <c r="C49" s="5" t="str">
        <f>VLOOKUP(B49,Справочник!$A$2:$B$23,2,FALSE)</f>
        <v>Департамент бройлерного направления</v>
      </c>
      <c r="D49" s="5" t="s">
        <v>16</v>
      </c>
      <c r="E49" s="7" t="str">
        <f>VLOOKUP(D49,Справочник!$D$2:$E$119,2,FALSE)</f>
        <v>Рустамов Рахимджон Мухамадович</v>
      </c>
      <c r="F49" s="2" t="s">
        <v>295</v>
      </c>
      <c r="G49" s="7" t="str">
        <f>VLOOKUP(F49,Справочник!$K$2:$L$245,2,FALSE)</f>
        <v>Мойщик</v>
      </c>
    </row>
    <row r="50" spans="1:7" ht="34.049999999999997" customHeight="1" x14ac:dyDescent="0.3">
      <c r="A50" s="5">
        <v>49</v>
      </c>
      <c r="B50" s="5" t="s">
        <v>14</v>
      </c>
      <c r="C50" s="5" t="str">
        <f>VLOOKUP(B50,Справочник!$A$2:$B$23,2,FALSE)</f>
        <v>Департамент бройлерного направления</v>
      </c>
      <c r="D50" s="5" t="s">
        <v>16</v>
      </c>
      <c r="E50" s="5" t="str">
        <f>VLOOKUP(D50,Справочник!$D$2:$E$119,2,FALSE)</f>
        <v>Рустамов Рахимджон Мухамадович</v>
      </c>
      <c r="F50" s="2" t="s">
        <v>296</v>
      </c>
      <c r="G50" s="5" t="str">
        <f>VLOOKUP(F50,Справочник!$K$2:$L$245,2,FALSE)</f>
        <v>Нач.производство</v>
      </c>
    </row>
    <row r="51" spans="1:7" ht="34.049999999999997" customHeight="1" x14ac:dyDescent="0.3">
      <c r="A51" s="6">
        <v>50</v>
      </c>
      <c r="B51" s="5" t="s">
        <v>14</v>
      </c>
      <c r="C51" s="5" t="str">
        <f>VLOOKUP(B51,Справочник!$A$2:$B$23,2,FALSE)</f>
        <v>Департамент бройлерного направления</v>
      </c>
      <c r="D51" s="5" t="s">
        <v>16</v>
      </c>
      <c r="E51" s="7" t="str">
        <f>VLOOKUP(D51,Справочник!$D$2:$E$119,2,FALSE)</f>
        <v>Рустамов Рахимджон Мухамадович</v>
      </c>
      <c r="F51" s="2" t="s">
        <v>297</v>
      </c>
      <c r="G51" s="7" t="str">
        <f>VLOOKUP(F51,Справочник!$K$2:$L$245,2,FALSE)</f>
        <v>Начальник</v>
      </c>
    </row>
    <row r="52" spans="1:7" ht="34.049999999999997" customHeight="1" x14ac:dyDescent="0.3">
      <c r="A52" s="5">
        <v>51</v>
      </c>
      <c r="B52" s="5" t="s">
        <v>14</v>
      </c>
      <c r="C52" s="5" t="str">
        <f>VLOOKUP(B52,Справочник!$A$2:$B$23,2,FALSE)</f>
        <v>Департамент бройлерного направления</v>
      </c>
      <c r="D52" s="5" t="s">
        <v>16</v>
      </c>
      <c r="E52" s="5" t="str">
        <f>VLOOKUP(D52,Справочник!$D$2:$E$119,2,FALSE)</f>
        <v>Рустамов Рахимджон Мухамадович</v>
      </c>
      <c r="F52" s="2" t="s">
        <v>298</v>
      </c>
      <c r="G52" s="5" t="str">
        <f>VLOOKUP(F52,Справочник!$K$2:$L$245,2,FALSE)</f>
        <v>Начальник котельной</v>
      </c>
    </row>
    <row r="53" spans="1:7" ht="34.049999999999997" customHeight="1" x14ac:dyDescent="0.3">
      <c r="A53" s="6">
        <v>52</v>
      </c>
      <c r="B53" s="5" t="s">
        <v>14</v>
      </c>
      <c r="C53" s="5" t="str">
        <f>VLOOKUP(B53,Справочник!$A$2:$B$23,2,FALSE)</f>
        <v>Департамент бройлерного направления</v>
      </c>
      <c r="D53" s="5" t="s">
        <v>16</v>
      </c>
      <c r="E53" s="7" t="str">
        <f>VLOOKUP(D53,Справочник!$D$2:$E$119,2,FALSE)</f>
        <v>Рустамов Рахимджон Мухамадович</v>
      </c>
      <c r="F53" s="2" t="s">
        <v>299</v>
      </c>
      <c r="G53" s="7" t="str">
        <f>VLOOKUP(F53,Справочник!$K$2:$L$245,2,FALSE)</f>
        <v>Начальник цеха ЦПКМ</v>
      </c>
    </row>
    <row r="54" spans="1:7" ht="34.049999999999997" customHeight="1" x14ac:dyDescent="0.3">
      <c r="A54" s="5">
        <v>53</v>
      </c>
      <c r="B54" s="5" t="s">
        <v>14</v>
      </c>
      <c r="C54" s="5" t="str">
        <f>VLOOKUP(B54,Справочник!$A$2:$B$23,2,FALSE)</f>
        <v>Департамент бройлерного направления</v>
      </c>
      <c r="D54" s="5" t="s">
        <v>16</v>
      </c>
      <c r="E54" s="5" t="str">
        <f>VLOOKUP(D54,Справочник!$D$2:$E$119,2,FALSE)</f>
        <v>Рустамов Рахимджон Мухамадович</v>
      </c>
      <c r="F54" s="2" t="s">
        <v>300</v>
      </c>
      <c r="G54" s="5" t="str">
        <f>VLOOKUP(F54,Справочник!$K$2:$L$245,2,FALSE)</f>
        <v>Оператор</v>
      </c>
    </row>
    <row r="55" spans="1:7" ht="34.049999999999997" customHeight="1" x14ac:dyDescent="0.3">
      <c r="A55" s="6">
        <v>54</v>
      </c>
      <c r="B55" s="5" t="s">
        <v>14</v>
      </c>
      <c r="C55" s="5" t="str">
        <f>VLOOKUP(B55,Справочник!$A$2:$B$23,2,FALSE)</f>
        <v>Департамент бройлерного направления</v>
      </c>
      <c r="D55" s="5" t="s">
        <v>16</v>
      </c>
      <c r="E55" s="7" t="str">
        <f>VLOOKUP(D55,Справочник!$D$2:$E$119,2,FALSE)</f>
        <v>Рустамов Рахимджон Мухамадович</v>
      </c>
      <c r="F55" s="2" t="s">
        <v>301</v>
      </c>
      <c r="G55" s="7" t="str">
        <f>VLOOKUP(F55,Справочник!$K$2:$L$245,2,FALSE)</f>
        <v>Операторы линий и оборудования</v>
      </c>
    </row>
    <row r="56" spans="1:7" ht="34.049999999999997" customHeight="1" x14ac:dyDescent="0.3">
      <c r="A56" s="5">
        <v>55</v>
      </c>
      <c r="B56" s="5" t="s">
        <v>14</v>
      </c>
      <c r="C56" s="5" t="str">
        <f>VLOOKUP(B56,Справочник!$A$2:$B$23,2,FALSE)</f>
        <v>Департамент бройлерного направления</v>
      </c>
      <c r="D56" s="5" t="s">
        <v>16</v>
      </c>
      <c r="E56" s="5" t="str">
        <f>VLOOKUP(D56,Справочник!$D$2:$E$119,2,FALSE)</f>
        <v>Рустамов Рахимджон Мухамадович</v>
      </c>
      <c r="F56" s="2" t="s">
        <v>302</v>
      </c>
      <c r="G56" s="5" t="str">
        <f>VLOOKUP(F56,Справочник!$K$2:$L$245,2,FALSE)</f>
        <v>Помощник начальника</v>
      </c>
    </row>
    <row r="57" spans="1:7" ht="34.049999999999997" customHeight="1" x14ac:dyDescent="0.3">
      <c r="A57" s="6">
        <v>56</v>
      </c>
      <c r="B57" s="5" t="s">
        <v>14</v>
      </c>
      <c r="C57" s="5" t="str">
        <f>VLOOKUP(B57,Справочник!$A$2:$B$23,2,FALSE)</f>
        <v>Департамент бройлерного направления</v>
      </c>
      <c r="D57" s="5" t="s">
        <v>16</v>
      </c>
      <c r="E57" s="7" t="str">
        <f>VLOOKUP(D57,Справочник!$D$2:$E$119,2,FALSE)</f>
        <v>Рустамов Рахимджон Мухамадович</v>
      </c>
      <c r="F57" s="2" t="s">
        <v>303</v>
      </c>
      <c r="G57" s="7" t="str">
        <f>VLOOKUP(F57,Справочник!$K$2:$L$245,2,FALSE)</f>
        <v>Помощник оператора</v>
      </c>
    </row>
    <row r="58" spans="1:7" ht="34.049999999999997" customHeight="1" x14ac:dyDescent="0.3">
      <c r="A58" s="5">
        <v>57</v>
      </c>
      <c r="B58" s="5" t="s">
        <v>14</v>
      </c>
      <c r="C58" s="5" t="str">
        <f>VLOOKUP(B58,Справочник!$A$2:$B$23,2,FALSE)</f>
        <v>Департамент бройлерного направления</v>
      </c>
      <c r="D58" s="5" t="s">
        <v>16</v>
      </c>
      <c r="E58" s="5" t="str">
        <f>VLOOKUP(D58,Справочник!$D$2:$E$119,2,FALSE)</f>
        <v>Рустамов Рахимджон Мухамадович</v>
      </c>
      <c r="F58" s="2" t="s">
        <v>304</v>
      </c>
      <c r="G58" s="5" t="str">
        <f>VLOOKUP(F58,Справочник!$K$2:$L$245,2,FALSE)</f>
        <v>Птицевод</v>
      </c>
    </row>
    <row r="59" spans="1:7" ht="34.049999999999997" customHeight="1" x14ac:dyDescent="0.3">
      <c r="A59" s="6">
        <v>58</v>
      </c>
      <c r="B59" s="5" t="s">
        <v>14</v>
      </c>
      <c r="C59" s="5" t="str">
        <f>VLOOKUP(B59,Справочник!$A$2:$B$23,2,FALSE)</f>
        <v>Департамент бройлерного направления</v>
      </c>
      <c r="D59" s="5" t="s">
        <v>16</v>
      </c>
      <c r="E59" s="7" t="str">
        <f>VLOOKUP(D59,Справочник!$D$2:$E$119,2,FALSE)</f>
        <v>Рустамов Рахимджон Мухамадович</v>
      </c>
      <c r="F59" s="2" t="s">
        <v>305</v>
      </c>
      <c r="G59" s="7" t="str">
        <f>VLOOKUP(F59,Справочник!$K$2:$L$245,2,FALSE)</f>
        <v>Руководитель Департамента</v>
      </c>
    </row>
    <row r="60" spans="1:7" ht="34.049999999999997" customHeight="1" x14ac:dyDescent="0.3">
      <c r="A60" s="5">
        <v>59</v>
      </c>
      <c r="B60" s="5" t="s">
        <v>14</v>
      </c>
      <c r="C60" s="5" t="str">
        <f>VLOOKUP(B60,Справочник!$A$2:$B$23,2,FALSE)</f>
        <v>Департамент бройлерного направления</v>
      </c>
      <c r="D60" s="5" t="s">
        <v>16</v>
      </c>
      <c r="E60" s="5" t="str">
        <f>VLOOKUP(D60,Справочник!$D$2:$E$119,2,FALSE)</f>
        <v>Рустамов Рахимджон Мухамадович</v>
      </c>
      <c r="F60" s="2" t="s">
        <v>306</v>
      </c>
      <c r="G60" s="5" t="str">
        <f>VLOOKUP(F60,Справочник!$K$2:$L$245,2,FALSE)</f>
        <v>Слесарь Кип и А -наладчик упаковочного оборудования</v>
      </c>
    </row>
    <row r="61" spans="1:7" ht="34.049999999999997" customHeight="1" x14ac:dyDescent="0.3">
      <c r="A61" s="6">
        <v>60</v>
      </c>
      <c r="B61" s="5" t="s">
        <v>14</v>
      </c>
      <c r="C61" s="5" t="str">
        <f>VLOOKUP(B61,Справочник!$A$2:$B$23,2,FALSE)</f>
        <v>Департамент бройлерного направления</v>
      </c>
      <c r="D61" s="5" t="s">
        <v>16</v>
      </c>
      <c r="E61" s="7" t="str">
        <f>VLOOKUP(D61,Справочник!$D$2:$E$119,2,FALSE)</f>
        <v>Рустамов Рахимджон Мухамадович</v>
      </c>
      <c r="F61" s="2" t="s">
        <v>307</v>
      </c>
      <c r="G61" s="7" t="str">
        <f>VLOOKUP(F61,Справочник!$K$2:$L$245,2,FALSE)</f>
        <v>Слесарь наладчик</v>
      </c>
    </row>
    <row r="62" spans="1:7" ht="34.049999999999997" customHeight="1" x14ac:dyDescent="0.3">
      <c r="A62" s="5">
        <v>61</v>
      </c>
      <c r="B62" s="5" t="s">
        <v>14</v>
      </c>
      <c r="C62" s="5" t="str">
        <f>VLOOKUP(B62,Справочник!$A$2:$B$23,2,FALSE)</f>
        <v>Департамент бройлерного направления</v>
      </c>
      <c r="D62" s="5" t="s">
        <v>16</v>
      </c>
      <c r="E62" s="5" t="str">
        <f>VLOOKUP(D62,Справочник!$D$2:$E$119,2,FALSE)</f>
        <v>Рустамов Рахимджон Мухамадович</v>
      </c>
      <c r="F62" s="2" t="s">
        <v>308</v>
      </c>
      <c r="G62" s="5" t="str">
        <f>VLOOKUP(F62,Справочник!$K$2:$L$245,2,FALSE)</f>
        <v>Слесарь-сантехник</v>
      </c>
    </row>
    <row r="63" spans="1:7" ht="34.049999999999997" customHeight="1" x14ac:dyDescent="0.3">
      <c r="A63" s="6">
        <v>62</v>
      </c>
      <c r="B63" s="5" t="s">
        <v>14</v>
      </c>
      <c r="C63" s="5" t="str">
        <f>VLOOKUP(B63,Справочник!$A$2:$B$23,2,FALSE)</f>
        <v>Департамент бройлерного направления</v>
      </c>
      <c r="D63" s="5" t="s">
        <v>16</v>
      </c>
      <c r="E63" s="7" t="str">
        <f>VLOOKUP(D63,Справочник!$D$2:$E$119,2,FALSE)</f>
        <v>Рустамов Рахимджон Мухамадович</v>
      </c>
      <c r="F63" s="2" t="s">
        <v>309</v>
      </c>
      <c r="G63" s="7" t="str">
        <f>VLOOKUP(F63,Справочник!$K$2:$L$245,2,FALSE)</f>
        <v>Специалист по качеству</v>
      </c>
    </row>
    <row r="64" spans="1:7" ht="34.049999999999997" customHeight="1" x14ac:dyDescent="0.3">
      <c r="A64" s="5">
        <v>63</v>
      </c>
      <c r="B64" s="5" t="s">
        <v>14</v>
      </c>
      <c r="C64" s="5" t="str">
        <f>VLOOKUP(B64,Справочник!$A$2:$B$23,2,FALSE)</f>
        <v>Департамент бройлерного направления</v>
      </c>
      <c r="D64" s="5" t="s">
        <v>16</v>
      </c>
      <c r="E64" s="5" t="str">
        <f>VLOOKUP(D64,Справочник!$D$2:$E$119,2,FALSE)</f>
        <v>Рустамов Рахимджон Мухамадович</v>
      </c>
      <c r="F64" s="2" t="s">
        <v>310</v>
      </c>
      <c r="G64" s="5" t="str">
        <f>VLOOKUP(F64,Справочник!$K$2:$L$245,2,FALSE)</f>
        <v>Старший механик</v>
      </c>
    </row>
    <row r="65" spans="1:7" ht="34.049999999999997" customHeight="1" x14ac:dyDescent="0.3">
      <c r="A65" s="6">
        <v>64</v>
      </c>
      <c r="B65" s="5" t="s">
        <v>14</v>
      </c>
      <c r="C65" s="5" t="str">
        <f>VLOOKUP(B65,Справочник!$A$2:$B$23,2,FALSE)</f>
        <v>Департамент бройлерного направления</v>
      </c>
      <c r="D65" s="5" t="s">
        <v>16</v>
      </c>
      <c r="E65" s="7" t="str">
        <f>VLOOKUP(D65,Справочник!$D$2:$E$119,2,FALSE)</f>
        <v>Рустамов Рахимджон Мухамадович</v>
      </c>
      <c r="F65" s="2" t="s">
        <v>311</v>
      </c>
      <c r="G65" s="7" t="str">
        <f>VLOOKUP(F65,Справочник!$K$2:$L$245,2,FALSE)</f>
        <v>Старший технолог</v>
      </c>
    </row>
    <row r="66" spans="1:7" ht="34.049999999999997" customHeight="1" x14ac:dyDescent="0.3">
      <c r="A66" s="5">
        <v>65</v>
      </c>
      <c r="B66" s="5" t="s">
        <v>14</v>
      </c>
      <c r="C66" s="5" t="str">
        <f>VLOOKUP(B66,Справочник!$A$2:$B$23,2,FALSE)</f>
        <v>Департамент бройлерного направления</v>
      </c>
      <c r="D66" s="5" t="s">
        <v>16</v>
      </c>
      <c r="E66" s="5" t="str">
        <f>VLOOKUP(D66,Справочник!$D$2:$E$119,2,FALSE)</f>
        <v>Рустамов Рахимджон Мухамадович</v>
      </c>
      <c r="F66" s="2" t="s">
        <v>312</v>
      </c>
      <c r="G66" s="5" t="str">
        <f>VLOOKUP(F66,Справочник!$K$2:$L$245,2,FALSE)</f>
        <v>Техничка-гладильщик</v>
      </c>
    </row>
    <row r="67" spans="1:7" ht="34.049999999999997" customHeight="1" x14ac:dyDescent="0.3">
      <c r="A67" s="6">
        <v>66</v>
      </c>
      <c r="B67" s="5" t="s">
        <v>14</v>
      </c>
      <c r="C67" s="5" t="str">
        <f>VLOOKUP(B67,Справочник!$A$2:$B$23,2,FALSE)</f>
        <v>Департамент бройлерного направления</v>
      </c>
      <c r="D67" s="5" t="s">
        <v>16</v>
      </c>
      <c r="E67" s="7" t="str">
        <f>VLOOKUP(D67,Справочник!$D$2:$E$119,2,FALSE)</f>
        <v>Рустамов Рахимджон Мухамадович</v>
      </c>
      <c r="F67" s="2" t="s">
        <v>313</v>
      </c>
      <c r="G67" s="7" t="str">
        <f>VLOOKUP(F67,Справочник!$K$2:$L$245,2,FALSE)</f>
        <v>Технолог</v>
      </c>
    </row>
    <row r="68" spans="1:7" ht="34.049999999999997" customHeight="1" x14ac:dyDescent="0.3">
      <c r="A68" s="5">
        <v>67</v>
      </c>
      <c r="B68" s="5" t="s">
        <v>14</v>
      </c>
      <c r="C68" s="5" t="str">
        <f>VLOOKUP(B68,Справочник!$A$2:$B$23,2,FALSE)</f>
        <v>Департамент бройлерного направления</v>
      </c>
      <c r="D68" s="5" t="s">
        <v>16</v>
      </c>
      <c r="E68" s="5" t="str">
        <f>VLOOKUP(D68,Справочник!$D$2:$E$119,2,FALSE)</f>
        <v>Рустамов Рахимджон Мухамадович</v>
      </c>
      <c r="F68" s="2" t="s">
        <v>314</v>
      </c>
      <c r="G68" s="5" t="str">
        <f>VLOOKUP(F68,Справочник!$K$2:$L$245,2,FALSE)</f>
        <v>Электромонтер</v>
      </c>
    </row>
    <row r="69" spans="1:7" ht="19.95" customHeight="1" x14ac:dyDescent="0.3">
      <c r="A69" s="6">
        <v>68</v>
      </c>
      <c r="B69" s="5" t="s">
        <v>18</v>
      </c>
      <c r="C69" s="5" t="str">
        <f>VLOOKUP(B69,Справочник!$A$2:$B$23,2,FALSE)</f>
        <v>Департамент Дистрибуции</v>
      </c>
      <c r="D69" s="5" t="s">
        <v>20</v>
      </c>
      <c r="E69" s="7" t="str">
        <f>VLOOKUP(D69,Справочник!$D$2:$E$119,2,FALSE)</f>
        <v>Хасанов Фарход Сулаймонович</v>
      </c>
      <c r="F69" s="2" t="s">
        <v>315</v>
      </c>
      <c r="G69" s="7" t="str">
        <f>VLOOKUP(F69,Справочник!$K$2:$L$245,2,FALSE)</f>
        <v>Бухгалтер-операционист</v>
      </c>
    </row>
    <row r="70" spans="1:7" ht="19.95" customHeight="1" x14ac:dyDescent="0.3">
      <c r="A70" s="5">
        <v>69</v>
      </c>
      <c r="B70" s="5" t="s">
        <v>18</v>
      </c>
      <c r="C70" s="5" t="str">
        <f>VLOOKUP(B70,Справочник!$A$2:$B$23,2,FALSE)</f>
        <v>Департамент Дистрибуции</v>
      </c>
      <c r="D70" s="5" t="s">
        <v>20</v>
      </c>
      <c r="E70" s="5" t="str">
        <f>VLOOKUP(D70,Справочник!$D$2:$E$119,2,FALSE)</f>
        <v>Хасанов Фарход Сулаймонович</v>
      </c>
      <c r="F70" s="2" t="s">
        <v>316</v>
      </c>
      <c r="G70" s="5" t="str">
        <f>VLOOKUP(F70,Справочник!$K$2:$L$245,2,FALSE)</f>
        <v>Водитель экспедитор</v>
      </c>
    </row>
    <row r="71" spans="1:7" ht="19.95" customHeight="1" x14ac:dyDescent="0.3">
      <c r="A71" s="6">
        <v>70</v>
      </c>
      <c r="B71" s="5" t="s">
        <v>18</v>
      </c>
      <c r="C71" s="5" t="str">
        <f>VLOOKUP(B71,Справочник!$A$2:$B$23,2,FALSE)</f>
        <v>Департамент Дистрибуции</v>
      </c>
      <c r="D71" s="5" t="s">
        <v>20</v>
      </c>
      <c r="E71" s="7" t="str">
        <f>VLOOKUP(D71,Справочник!$D$2:$E$119,2,FALSE)</f>
        <v>Хасанов Фарход Сулаймонович</v>
      </c>
      <c r="F71" s="2" t="s">
        <v>317</v>
      </c>
      <c r="G71" s="7" t="str">
        <f>VLOOKUP(F71,Справочник!$K$2:$L$245,2,FALSE)</f>
        <v>Грузчик</v>
      </c>
    </row>
    <row r="72" spans="1:7" ht="19.95" customHeight="1" x14ac:dyDescent="0.3">
      <c r="A72" s="5">
        <v>71</v>
      </c>
      <c r="B72" s="5" t="s">
        <v>18</v>
      </c>
      <c r="C72" s="5" t="str">
        <f>VLOOKUP(B72,Справочник!$A$2:$B$23,2,FALSE)</f>
        <v>Департамент Дистрибуции</v>
      </c>
      <c r="D72" s="5" t="s">
        <v>20</v>
      </c>
      <c r="E72" s="5" t="str">
        <f>VLOOKUP(D72,Справочник!$D$2:$E$119,2,FALSE)</f>
        <v>Хасанов Фарход Сулаймонович</v>
      </c>
      <c r="F72" s="2" t="s">
        <v>318</v>
      </c>
      <c r="G72" s="5" t="str">
        <f>VLOOKUP(F72,Справочник!$K$2:$L$245,2,FALSE)</f>
        <v>Заведующий складом</v>
      </c>
    </row>
    <row r="73" spans="1:7" ht="19.95" customHeight="1" x14ac:dyDescent="0.3">
      <c r="A73" s="6">
        <v>72</v>
      </c>
      <c r="B73" s="5" t="s">
        <v>18</v>
      </c>
      <c r="C73" s="5" t="str">
        <f>VLOOKUP(B73,Справочник!$A$2:$B$23,2,FALSE)</f>
        <v>Департамент Дистрибуции</v>
      </c>
      <c r="D73" s="5" t="s">
        <v>20</v>
      </c>
      <c r="E73" s="7" t="str">
        <f>VLOOKUP(D73,Справочник!$D$2:$E$119,2,FALSE)</f>
        <v>Хасанов Фарход Сулаймонович</v>
      </c>
      <c r="F73" s="2" t="s">
        <v>319</v>
      </c>
      <c r="G73" s="7" t="str">
        <f>VLOOKUP(F73,Справочник!$K$2:$L$245,2,FALSE)</f>
        <v>Кладовщик</v>
      </c>
    </row>
    <row r="74" spans="1:7" ht="19.95" customHeight="1" x14ac:dyDescent="0.3">
      <c r="A74" s="5">
        <v>73</v>
      </c>
      <c r="B74" s="5" t="s">
        <v>18</v>
      </c>
      <c r="C74" s="5" t="str">
        <f>VLOOKUP(B74,Справочник!$A$2:$B$23,2,FALSE)</f>
        <v>Департамент Дистрибуции</v>
      </c>
      <c r="D74" s="5" t="s">
        <v>20</v>
      </c>
      <c r="E74" s="5" t="str">
        <f>VLOOKUP(D74,Справочник!$D$2:$E$119,2,FALSE)</f>
        <v>Хасанов Фарход Сулаймонович</v>
      </c>
      <c r="F74" s="2" t="s">
        <v>320</v>
      </c>
      <c r="G74" s="5" t="str">
        <f>VLOOKUP(F74,Справочник!$K$2:$L$245,2,FALSE)</f>
        <v>Логист</v>
      </c>
    </row>
    <row r="75" spans="1:7" ht="19.95" customHeight="1" x14ac:dyDescent="0.3">
      <c r="A75" s="6">
        <v>74</v>
      </c>
      <c r="B75" s="5" t="s">
        <v>18</v>
      </c>
      <c r="C75" s="5" t="str">
        <f>VLOOKUP(B75,Справочник!$A$2:$B$23,2,FALSE)</f>
        <v>Департамент Дистрибуции</v>
      </c>
      <c r="D75" s="5" t="s">
        <v>20</v>
      </c>
      <c r="E75" s="7" t="str">
        <f>VLOOKUP(D75,Справочник!$D$2:$E$119,2,FALSE)</f>
        <v>Хасанов Фарход Сулаймонович</v>
      </c>
      <c r="F75" s="2" t="s">
        <v>321</v>
      </c>
      <c r="G75" s="7" t="str">
        <f>VLOOKUP(F75,Справочник!$K$2:$L$245,2,FALSE)</f>
        <v>мерчендайзер</v>
      </c>
    </row>
    <row r="76" spans="1:7" ht="19.95" customHeight="1" x14ac:dyDescent="0.3">
      <c r="A76" s="5">
        <v>75</v>
      </c>
      <c r="B76" s="5" t="s">
        <v>18</v>
      </c>
      <c r="C76" s="5" t="str">
        <f>VLOOKUP(B76,Справочник!$A$2:$B$23,2,FALSE)</f>
        <v>Департамент Дистрибуции</v>
      </c>
      <c r="D76" s="5" t="s">
        <v>20</v>
      </c>
      <c r="E76" s="5" t="str">
        <f>VLOOKUP(D76,Справочник!$D$2:$E$119,2,FALSE)</f>
        <v>Хасанов Фарход Сулаймонович</v>
      </c>
      <c r="F76" s="2" t="s">
        <v>257</v>
      </c>
      <c r="G76" s="5" t="str">
        <f>VLOOKUP(F76,Справочник!$K$2:$L$245,2,FALSE)</f>
        <v>Руководитель</v>
      </c>
    </row>
    <row r="77" spans="1:7" ht="19.95" customHeight="1" x14ac:dyDescent="0.3">
      <c r="A77" s="6">
        <v>76</v>
      </c>
      <c r="B77" s="5" t="s">
        <v>18</v>
      </c>
      <c r="C77" s="5" t="str">
        <f>VLOOKUP(B77,Справочник!$A$2:$B$23,2,FALSE)</f>
        <v>Департамент Дистрибуции</v>
      </c>
      <c r="D77" s="5" t="s">
        <v>20</v>
      </c>
      <c r="E77" s="7" t="str">
        <f>VLOOKUP(D77,Справочник!$D$2:$E$119,2,FALSE)</f>
        <v>Хасанов Фарход Сулаймонович</v>
      </c>
      <c r="F77" s="2" t="s">
        <v>322</v>
      </c>
      <c r="G77" s="7" t="str">
        <f>VLOOKUP(F77,Справочник!$K$2:$L$245,2,FALSE)</f>
        <v>Руководитель филиала</v>
      </c>
    </row>
    <row r="78" spans="1:7" ht="19.95" customHeight="1" x14ac:dyDescent="0.3">
      <c r="A78" s="5">
        <v>77</v>
      </c>
      <c r="B78" s="5" t="s">
        <v>18</v>
      </c>
      <c r="C78" s="5" t="str">
        <f>VLOOKUP(B78,Справочник!$A$2:$B$23,2,FALSE)</f>
        <v>Департамент Дистрибуции</v>
      </c>
      <c r="D78" s="5" t="s">
        <v>20</v>
      </c>
      <c r="E78" s="5" t="str">
        <f>VLOOKUP(D78,Справочник!$D$2:$E$119,2,FALSE)</f>
        <v>Хасанов Фарход Сулаймонович</v>
      </c>
      <c r="F78" s="2" t="s">
        <v>323</v>
      </c>
      <c r="G78" s="5" t="str">
        <f>VLOOKUP(F78,Справочник!$K$2:$L$245,2,FALSE)</f>
        <v>Складчик-продавец</v>
      </c>
    </row>
    <row r="79" spans="1:7" ht="19.95" customHeight="1" x14ac:dyDescent="0.3">
      <c r="A79" s="6">
        <v>78</v>
      </c>
      <c r="B79" s="5" t="s">
        <v>18</v>
      </c>
      <c r="C79" s="5" t="str">
        <f>VLOOKUP(B79,Справочник!$A$2:$B$23,2,FALSE)</f>
        <v>Департамент Дистрибуции</v>
      </c>
      <c r="D79" s="5" t="s">
        <v>20</v>
      </c>
      <c r="E79" s="7" t="str">
        <f>VLOOKUP(D79,Справочник!$D$2:$E$119,2,FALSE)</f>
        <v>Хасанов Фарход Сулаймонович</v>
      </c>
      <c r="F79" s="2" t="s">
        <v>324</v>
      </c>
      <c r="G79" s="7" t="str">
        <f>VLOOKUP(F79,Справочник!$K$2:$L$245,2,FALSE)</f>
        <v>Супервайзер</v>
      </c>
    </row>
    <row r="80" spans="1:7" ht="19.95" customHeight="1" x14ac:dyDescent="0.3">
      <c r="A80" s="5">
        <v>79</v>
      </c>
      <c r="B80" s="5" t="s">
        <v>18</v>
      </c>
      <c r="C80" s="5" t="str">
        <f>VLOOKUP(B80,Справочник!$A$2:$B$23,2,FALSE)</f>
        <v>Департамент Дистрибуции</v>
      </c>
      <c r="D80" s="5" t="s">
        <v>20</v>
      </c>
      <c r="E80" s="5" t="str">
        <f>VLOOKUP(D80,Справочник!$D$2:$E$119,2,FALSE)</f>
        <v>Хасанов Фарход Сулаймонович</v>
      </c>
      <c r="F80" s="2" t="s">
        <v>325</v>
      </c>
      <c r="G80" s="5" t="str">
        <f>VLOOKUP(F80,Справочник!$K$2:$L$245,2,FALSE)</f>
        <v>торговый представитель</v>
      </c>
    </row>
    <row r="81" spans="1:7" ht="19.95" customHeight="1" x14ac:dyDescent="0.3">
      <c r="A81" s="6">
        <v>80</v>
      </c>
      <c r="B81" s="5" t="s">
        <v>18</v>
      </c>
      <c r="C81" s="5" t="str">
        <f>VLOOKUP(B81,Справочник!$A$2:$B$23,2,FALSE)</f>
        <v>Департамент Дистрибуции</v>
      </c>
      <c r="D81" s="5" t="s">
        <v>20</v>
      </c>
      <c r="E81" s="7" t="str">
        <f>VLOOKUP(D81,Справочник!$D$2:$E$119,2,FALSE)</f>
        <v>Хасанов Фарход Сулаймонович</v>
      </c>
      <c r="F81" s="2" t="s">
        <v>326</v>
      </c>
      <c r="G81" s="7" t="str">
        <f>VLOOKUP(F81,Справочник!$K$2:$L$245,2,FALSE)</f>
        <v>Эксклюзивный торговый представитель</v>
      </c>
    </row>
    <row r="82" spans="1:7" ht="19.95" customHeight="1" x14ac:dyDescent="0.3">
      <c r="A82" s="5">
        <v>81</v>
      </c>
      <c r="B82" s="5" t="s">
        <v>22</v>
      </c>
      <c r="C82" s="5" t="str">
        <f>VLOOKUP(B82,Справочник!$A$2:$B$23,2,FALSE)</f>
        <v>Департамент логистики и ГП</v>
      </c>
      <c r="D82" s="5" t="s">
        <v>24</v>
      </c>
      <c r="E82" s="5" t="str">
        <f>VLOOKUP(D82,Справочник!$D$2:$E$119,2,FALSE)</f>
        <v>Пономарев Олег Александрович</v>
      </c>
      <c r="F82" s="2" t="s">
        <v>327</v>
      </c>
      <c r="G82" s="5" t="str">
        <f>VLOOKUP(F82,Справочник!$K$2:$L$245,2,FALSE)</f>
        <v>Водитель автокара</v>
      </c>
    </row>
    <row r="83" spans="1:7" ht="19.95" customHeight="1" x14ac:dyDescent="0.3">
      <c r="A83" s="6">
        <v>82</v>
      </c>
      <c r="B83" s="5" t="s">
        <v>22</v>
      </c>
      <c r="C83" s="5" t="str">
        <f>VLOOKUP(B83,Справочник!$A$2:$B$23,2,FALSE)</f>
        <v>Департамент логистики и ГП</v>
      </c>
      <c r="D83" s="5" t="s">
        <v>24</v>
      </c>
      <c r="E83" s="7" t="str">
        <f>VLOOKUP(D83,Справочник!$D$2:$E$119,2,FALSE)</f>
        <v>Пономарев Олег Александрович</v>
      </c>
      <c r="F83" s="2" t="s">
        <v>317</v>
      </c>
      <c r="G83" s="7" t="str">
        <f>VLOOKUP(F83,Справочник!$K$2:$L$245,2,FALSE)</f>
        <v>Грузчик</v>
      </c>
    </row>
    <row r="84" spans="1:7" ht="19.95" customHeight="1" x14ac:dyDescent="0.3">
      <c r="A84" s="5">
        <v>83</v>
      </c>
      <c r="B84" s="5" t="s">
        <v>22</v>
      </c>
      <c r="C84" s="5" t="str">
        <f>VLOOKUP(B84,Справочник!$A$2:$B$23,2,FALSE)</f>
        <v>Департамент логистики и ГП</v>
      </c>
      <c r="D84" s="5" t="s">
        <v>24</v>
      </c>
      <c r="E84" s="5" t="str">
        <f>VLOOKUP(D84,Справочник!$D$2:$E$119,2,FALSE)</f>
        <v>Пономарев Олег Александрович</v>
      </c>
      <c r="F84" s="2" t="s">
        <v>328</v>
      </c>
      <c r="G84" s="5" t="str">
        <f>VLOOKUP(F84,Справочник!$K$2:$L$245,2,FALSE)</f>
        <v>Завсклад</v>
      </c>
    </row>
    <row r="85" spans="1:7" ht="19.95" customHeight="1" x14ac:dyDescent="0.3">
      <c r="A85" s="6">
        <v>84</v>
      </c>
      <c r="B85" s="5" t="s">
        <v>22</v>
      </c>
      <c r="C85" s="5" t="str">
        <f>VLOOKUP(B85,Справочник!$A$2:$B$23,2,FALSE)</f>
        <v>Департамент логистики и ГП</v>
      </c>
      <c r="D85" s="5" t="s">
        <v>24</v>
      </c>
      <c r="E85" s="7" t="str">
        <f>VLOOKUP(D85,Справочник!$D$2:$E$119,2,FALSE)</f>
        <v>Пономарев Олег Александрович</v>
      </c>
      <c r="F85" s="2" t="s">
        <v>319</v>
      </c>
      <c r="G85" s="7" t="str">
        <f>VLOOKUP(F85,Справочник!$K$2:$L$245,2,FALSE)</f>
        <v>Кладовщик</v>
      </c>
    </row>
    <row r="86" spans="1:7" ht="19.95" customHeight="1" x14ac:dyDescent="0.3">
      <c r="A86" s="5">
        <v>85</v>
      </c>
      <c r="B86" s="5" t="s">
        <v>22</v>
      </c>
      <c r="C86" s="5" t="str">
        <f>VLOOKUP(B86,Справочник!$A$2:$B$23,2,FALSE)</f>
        <v>Департамент логистики и ГП</v>
      </c>
      <c r="D86" s="5" t="s">
        <v>24</v>
      </c>
      <c r="E86" s="5" t="str">
        <f>VLOOKUP(D86,Справочник!$D$2:$E$119,2,FALSE)</f>
        <v>Пономарев Олег Александрович</v>
      </c>
      <c r="F86" s="2" t="s">
        <v>329</v>
      </c>
      <c r="G86" s="5" t="str">
        <f>VLOOKUP(F86,Справочник!$K$2:$L$245,2,FALSE)</f>
        <v>Координатор</v>
      </c>
    </row>
    <row r="87" spans="1:7" ht="19.95" customHeight="1" x14ac:dyDescent="0.3">
      <c r="A87" s="6">
        <v>86</v>
      </c>
      <c r="B87" s="5" t="s">
        <v>22</v>
      </c>
      <c r="C87" s="5" t="str">
        <f>VLOOKUP(B87,Справочник!$A$2:$B$23,2,FALSE)</f>
        <v>Департамент логистики и ГП</v>
      </c>
      <c r="D87" s="5" t="s">
        <v>24</v>
      </c>
      <c r="E87" s="7" t="str">
        <f>VLOOKUP(D87,Справочник!$D$2:$E$119,2,FALSE)</f>
        <v>Пономарев Олег Александрович</v>
      </c>
      <c r="F87" s="2" t="s">
        <v>330</v>
      </c>
      <c r="G87" s="7" t="str">
        <f>VLOOKUP(F87,Справочник!$K$2:$L$245,2,FALSE)</f>
        <v>Координатор складов</v>
      </c>
    </row>
    <row r="88" spans="1:7" ht="19.95" customHeight="1" x14ac:dyDescent="0.3">
      <c r="A88" s="5">
        <v>87</v>
      </c>
      <c r="B88" s="5" t="s">
        <v>22</v>
      </c>
      <c r="C88" s="5" t="str">
        <f>VLOOKUP(B88,Справочник!$A$2:$B$23,2,FALSE)</f>
        <v>Департамент логистики и ГП</v>
      </c>
      <c r="D88" s="5" t="s">
        <v>24</v>
      </c>
      <c r="E88" s="5" t="str">
        <f>VLOOKUP(D88,Справочник!$D$2:$E$119,2,FALSE)</f>
        <v>Пономарев Олег Александрович</v>
      </c>
      <c r="F88" s="2" t="s">
        <v>320</v>
      </c>
      <c r="G88" s="5" t="str">
        <f>VLOOKUP(F88,Справочник!$K$2:$L$245,2,FALSE)</f>
        <v>Логист</v>
      </c>
    </row>
    <row r="89" spans="1:7" ht="19.95" customHeight="1" x14ac:dyDescent="0.3">
      <c r="A89" s="6">
        <v>88</v>
      </c>
      <c r="B89" s="5" t="s">
        <v>22</v>
      </c>
      <c r="C89" s="5" t="str">
        <f>VLOOKUP(B89,Справочник!$A$2:$B$23,2,FALSE)</f>
        <v>Департамент логистики и ГП</v>
      </c>
      <c r="D89" s="5" t="s">
        <v>24</v>
      </c>
      <c r="E89" s="7" t="str">
        <f>VLOOKUP(D89,Справочник!$D$2:$E$119,2,FALSE)</f>
        <v>Пономарев Олег Александрович</v>
      </c>
      <c r="F89" s="2" t="s">
        <v>331</v>
      </c>
      <c r="G89" s="7" t="str">
        <f>VLOOKUP(F89,Справочник!$K$2:$L$245,2,FALSE)</f>
        <v>Оператор робота</v>
      </c>
    </row>
    <row r="90" spans="1:7" ht="19.95" customHeight="1" x14ac:dyDescent="0.3">
      <c r="A90" s="5">
        <v>89</v>
      </c>
      <c r="B90" s="5" t="s">
        <v>22</v>
      </c>
      <c r="C90" s="5" t="str">
        <f>VLOOKUP(B90,Справочник!$A$2:$B$23,2,FALSE)</f>
        <v>Департамент логистики и ГП</v>
      </c>
      <c r="D90" s="5" t="s">
        <v>24</v>
      </c>
      <c r="E90" s="5" t="str">
        <f>VLOOKUP(D90,Справочник!$D$2:$E$119,2,FALSE)</f>
        <v>Пономарев Олег Александрович</v>
      </c>
      <c r="F90" s="2" t="s">
        <v>332</v>
      </c>
      <c r="G90" s="5" t="str">
        <f>VLOOKUP(F90,Справочник!$K$2:$L$245,2,FALSE)</f>
        <v>Руководитель отдела</v>
      </c>
    </row>
    <row r="91" spans="1:7" ht="19.95" customHeight="1" x14ac:dyDescent="0.3">
      <c r="A91" s="6">
        <v>90</v>
      </c>
      <c r="B91" s="5" t="s">
        <v>22</v>
      </c>
      <c r="C91" s="5" t="str">
        <f>VLOOKUP(B91,Справочник!$A$2:$B$23,2,FALSE)</f>
        <v>Департамент логистики и ГП</v>
      </c>
      <c r="D91" s="5" t="s">
        <v>24</v>
      </c>
      <c r="E91" s="7" t="str">
        <f>VLOOKUP(D91,Справочник!$D$2:$E$119,2,FALSE)</f>
        <v>Пономарев Олег Александрович</v>
      </c>
      <c r="F91" s="2" t="s">
        <v>333</v>
      </c>
      <c r="G91" s="7" t="str">
        <f>VLOOKUP(F91,Справочник!$K$2:$L$245,2,FALSE)</f>
        <v>Руководитель службы</v>
      </c>
    </row>
    <row r="92" spans="1:7" ht="34.049999999999997" customHeight="1" x14ac:dyDescent="0.3">
      <c r="A92" s="5">
        <v>91</v>
      </c>
      <c r="B92" s="5" t="s">
        <v>25</v>
      </c>
      <c r="C92" s="5" t="str">
        <f>VLOOKUP(B92,Справочник!$A$2:$B$23,2,FALSE)</f>
        <v>Департамент по работе с государственными органами</v>
      </c>
      <c r="D92" s="5" t="s">
        <v>27</v>
      </c>
      <c r="E92" s="5" t="str">
        <f>VLOOKUP(D92,Справочник!$D$2:$E$119,2,FALSE)</f>
        <v>Самандаров Исроилхоча Вохидхочаевич</v>
      </c>
      <c r="F92" s="2" t="s">
        <v>334</v>
      </c>
      <c r="G92" s="5" t="str">
        <f>VLOOKUP(F92,Справочник!$K$2:$L$245,2,FALSE)</f>
        <v>Диспетчер</v>
      </c>
    </row>
    <row r="93" spans="1:7" ht="34.049999999999997" customHeight="1" x14ac:dyDescent="0.3">
      <c r="A93" s="6">
        <v>92</v>
      </c>
      <c r="B93" s="5" t="s">
        <v>25</v>
      </c>
      <c r="C93" s="5" t="str">
        <f>VLOOKUP(B93,Справочник!$A$2:$B$23,2,FALSE)</f>
        <v>Департамент по работе с государственными органами</v>
      </c>
      <c r="D93" s="5" t="s">
        <v>27</v>
      </c>
      <c r="E93" s="7" t="str">
        <f>VLOOKUP(D93,Справочник!$D$2:$E$119,2,FALSE)</f>
        <v>Самандаров Исроилхоча Вохидхочаевич</v>
      </c>
      <c r="F93" s="2" t="s">
        <v>335</v>
      </c>
      <c r="G93" s="7" t="str">
        <f>VLOOKUP(F93,Справочник!$K$2:$L$245,2,FALSE)</f>
        <v>Заместитель начальника СО</v>
      </c>
    </row>
    <row r="94" spans="1:7" ht="34.049999999999997" customHeight="1" x14ac:dyDescent="0.3">
      <c r="A94" s="5">
        <v>93</v>
      </c>
      <c r="B94" s="5" t="s">
        <v>25</v>
      </c>
      <c r="C94" s="5" t="str">
        <f>VLOOKUP(B94,Справочник!$A$2:$B$23,2,FALSE)</f>
        <v>Департамент по работе с государственными органами</v>
      </c>
      <c r="D94" s="5" t="s">
        <v>27</v>
      </c>
      <c r="E94" s="5" t="str">
        <f>VLOOKUP(D94,Справочник!$D$2:$E$119,2,FALSE)</f>
        <v>Самандаров Исроилхоча Вохидхочаевич</v>
      </c>
      <c r="F94" s="2" t="s">
        <v>297</v>
      </c>
      <c r="G94" s="5" t="str">
        <f>VLOOKUP(F94,Справочник!$K$2:$L$245,2,FALSE)</f>
        <v>Начальник</v>
      </c>
    </row>
    <row r="95" spans="1:7" ht="34.049999999999997" customHeight="1" x14ac:dyDescent="0.3">
      <c r="A95" s="6">
        <v>94</v>
      </c>
      <c r="B95" s="5" t="s">
        <v>25</v>
      </c>
      <c r="C95" s="5" t="str">
        <f>VLOOKUP(B95,Справочник!$A$2:$B$23,2,FALSE)</f>
        <v>Департамент по работе с государственными органами</v>
      </c>
      <c r="D95" s="5" t="s">
        <v>27</v>
      </c>
      <c r="E95" s="7" t="str">
        <f>VLOOKUP(D95,Справочник!$D$2:$E$119,2,FALSE)</f>
        <v>Самандаров Исроилхоча Вохидхочаевич</v>
      </c>
      <c r="F95" s="2" t="s">
        <v>336</v>
      </c>
      <c r="G95" s="7" t="str">
        <f>VLOOKUP(F95,Справочник!$K$2:$L$245,2,FALSE)</f>
        <v>Охранник</v>
      </c>
    </row>
    <row r="96" spans="1:7" ht="34.049999999999997" customHeight="1" x14ac:dyDescent="0.3">
      <c r="A96" s="5">
        <v>95</v>
      </c>
      <c r="B96" s="5" t="s">
        <v>25</v>
      </c>
      <c r="C96" s="5" t="str">
        <f>VLOOKUP(B96,Справочник!$A$2:$B$23,2,FALSE)</f>
        <v>Департамент по работе с государственными органами</v>
      </c>
      <c r="D96" s="5" t="s">
        <v>27</v>
      </c>
      <c r="E96" s="5" t="str">
        <f>VLOOKUP(D96,Справочник!$D$2:$E$119,2,FALSE)</f>
        <v>Самандаров Исроилхоча Вохидхочаевич</v>
      </c>
      <c r="F96" s="2" t="s">
        <v>337</v>
      </c>
      <c r="G96" s="5" t="str">
        <f>VLOOKUP(F96,Справочник!$K$2:$L$245,2,FALSE)</f>
        <v>Пом.начальника</v>
      </c>
    </row>
    <row r="97" spans="1:7" ht="34.049999999999997" customHeight="1" x14ac:dyDescent="0.3">
      <c r="A97" s="6">
        <v>96</v>
      </c>
      <c r="B97" s="5" t="s">
        <v>25</v>
      </c>
      <c r="C97" s="5" t="str">
        <f>VLOOKUP(B97,Справочник!$A$2:$B$23,2,FALSE)</f>
        <v>Департамент по работе с государственными органами</v>
      </c>
      <c r="D97" s="5" t="s">
        <v>27</v>
      </c>
      <c r="E97" s="7" t="str">
        <f>VLOOKUP(D97,Справочник!$D$2:$E$119,2,FALSE)</f>
        <v>Самандаров Исроилхоча Вохидхочаевич</v>
      </c>
      <c r="F97" s="2" t="s">
        <v>338</v>
      </c>
      <c r="G97" s="7" t="str">
        <f>VLOOKUP(F97,Справочник!$K$2:$L$245,2,FALSE)</f>
        <v>Помощник Рук.деп</v>
      </c>
    </row>
    <row r="98" spans="1:7" ht="34.049999999999997" customHeight="1" x14ac:dyDescent="0.3">
      <c r="A98" s="5">
        <v>97</v>
      </c>
      <c r="B98" s="5" t="s">
        <v>25</v>
      </c>
      <c r="C98" s="5" t="str">
        <f>VLOOKUP(B98,Справочник!$A$2:$B$23,2,FALSE)</f>
        <v>Департамент по работе с государственными органами</v>
      </c>
      <c r="D98" s="5" t="s">
        <v>27</v>
      </c>
      <c r="E98" s="5" t="str">
        <f>VLOOKUP(D98,Справочник!$D$2:$E$119,2,FALSE)</f>
        <v>Самандаров Исроилхоча Вохидхочаевич</v>
      </c>
      <c r="F98" s="2" t="s">
        <v>339</v>
      </c>
      <c r="G98" s="5" t="str">
        <f>VLOOKUP(F98,Справочник!$K$2:$L$245,2,FALSE)</f>
        <v>Руководитель департамента</v>
      </c>
    </row>
    <row r="99" spans="1:7" ht="34.049999999999997" customHeight="1" x14ac:dyDescent="0.3">
      <c r="A99" s="6">
        <v>98</v>
      </c>
      <c r="B99" s="5" t="s">
        <v>25</v>
      </c>
      <c r="C99" s="5" t="str">
        <f>VLOOKUP(B99,Справочник!$A$2:$B$23,2,FALSE)</f>
        <v>Департамент по работе с государственными органами</v>
      </c>
      <c r="D99" s="5" t="s">
        <v>27</v>
      </c>
      <c r="E99" s="7" t="str">
        <f>VLOOKUP(D99,Справочник!$D$2:$E$119,2,FALSE)</f>
        <v>Самандаров Исроилхоча Вохидхочаевич</v>
      </c>
      <c r="F99" s="2" t="s">
        <v>340</v>
      </c>
      <c r="G99" s="7" t="str">
        <f>VLOOKUP(F99,Справочник!$K$2:$L$245,2,FALSE)</f>
        <v>Специалист отдела</v>
      </c>
    </row>
    <row r="100" spans="1:7" ht="34.049999999999997" customHeight="1" x14ac:dyDescent="0.3">
      <c r="A100" s="5">
        <v>99</v>
      </c>
      <c r="B100" s="5" t="s">
        <v>25</v>
      </c>
      <c r="C100" s="5" t="str">
        <f>VLOOKUP(B100,Справочник!$A$2:$B$23,2,FALSE)</f>
        <v>Департамент по работе с государственными органами</v>
      </c>
      <c r="D100" s="5" t="s">
        <v>27</v>
      </c>
      <c r="E100" s="5" t="str">
        <f>VLOOKUP(D100,Справочник!$D$2:$E$119,2,FALSE)</f>
        <v>Самандаров Исроилхоча Вохидхочаевич</v>
      </c>
      <c r="F100" s="2" t="s">
        <v>341</v>
      </c>
      <c r="G100" s="5" t="str">
        <f>VLOOKUP(F100,Справочник!$K$2:$L$245,2,FALSE)</f>
        <v>Специалист по работе с гос. органонами</v>
      </c>
    </row>
    <row r="101" spans="1:7" ht="34.049999999999997" customHeight="1" x14ac:dyDescent="0.3">
      <c r="A101" s="6">
        <v>100</v>
      </c>
      <c r="B101" s="5" t="s">
        <v>25</v>
      </c>
      <c r="C101" s="5" t="str">
        <f>VLOOKUP(B101,Справочник!$A$2:$B$23,2,FALSE)</f>
        <v>Департамент по работе с государственными органами</v>
      </c>
      <c r="D101" s="5" t="s">
        <v>27</v>
      </c>
      <c r="E101" s="7" t="str">
        <f>VLOOKUP(D101,Справочник!$D$2:$E$119,2,FALSE)</f>
        <v>Самандаров Исроилхоча Вохидхочаевич</v>
      </c>
      <c r="F101" s="2" t="s">
        <v>342</v>
      </c>
      <c r="G101" s="7" t="str">
        <f>VLOOKUP(F101,Справочник!$K$2:$L$245,2,FALSE)</f>
        <v>Специалист по таможеному оформлению</v>
      </c>
    </row>
    <row r="102" spans="1:7" ht="34.049999999999997" customHeight="1" x14ac:dyDescent="0.3">
      <c r="A102" s="5">
        <v>101</v>
      </c>
      <c r="B102" s="5" t="s">
        <v>25</v>
      </c>
      <c r="C102" s="5" t="str">
        <f>VLOOKUP(B102,Справочник!$A$2:$B$23,2,FALSE)</f>
        <v>Департамент по работе с государственными органами</v>
      </c>
      <c r="D102" s="5" t="s">
        <v>27</v>
      </c>
      <c r="E102" s="5" t="str">
        <f>VLOOKUP(D102,Справочник!$D$2:$E$119,2,FALSE)</f>
        <v>Самандаров Исроилхоча Вохидхочаевич</v>
      </c>
      <c r="F102" s="2" t="s">
        <v>343</v>
      </c>
      <c r="G102" s="5" t="str">
        <f>VLOOKUP(F102,Справочник!$K$2:$L$245,2,FALSE)</f>
        <v>Старший охраник</v>
      </c>
    </row>
    <row r="103" spans="1:7" ht="19.95" customHeight="1" x14ac:dyDescent="0.3">
      <c r="A103" s="6">
        <v>102</v>
      </c>
      <c r="B103" s="5" t="s">
        <v>29</v>
      </c>
      <c r="C103" s="5" t="str">
        <f>VLOOKUP(B103,Справочник!$A$2:$B$23,2,FALSE)</f>
        <v>Департамент продажи муки (Опт)</v>
      </c>
      <c r="D103" s="5" t="s">
        <v>31</v>
      </c>
      <c r="E103" s="7" t="str">
        <f>VLOOKUP(D103,Справочник!$D$2:$E$119,2,FALSE)</f>
        <v>Урунов Акмалхуча Абдуллоевич</v>
      </c>
      <c r="F103" s="2" t="s">
        <v>344</v>
      </c>
      <c r="G103" s="7" t="str">
        <f>VLOOKUP(F103,Справочник!$K$2:$L$245,2,FALSE)</f>
        <v>Водитель электроавтотележки</v>
      </c>
    </row>
    <row r="104" spans="1:7" ht="19.95" customHeight="1" x14ac:dyDescent="0.3">
      <c r="A104" s="5">
        <v>103</v>
      </c>
      <c r="B104" s="5" t="s">
        <v>29</v>
      </c>
      <c r="C104" s="5" t="str">
        <f>VLOOKUP(B104,Справочник!$A$2:$B$23,2,FALSE)</f>
        <v>Департамент продажи муки (Опт)</v>
      </c>
      <c r="D104" s="5" t="s">
        <v>31</v>
      </c>
      <c r="E104" s="5" t="str">
        <f>VLOOKUP(D104,Справочник!$D$2:$E$119,2,FALSE)</f>
        <v>Урунов Акмалхуча Абдуллоевич</v>
      </c>
      <c r="F104" s="2" t="s">
        <v>345</v>
      </c>
      <c r="G104" s="5" t="str">
        <f>VLOOKUP(F104,Справочник!$K$2:$L$245,2,FALSE)</f>
        <v>Водитель-продовец</v>
      </c>
    </row>
    <row r="105" spans="1:7" ht="19.95" customHeight="1" x14ac:dyDescent="0.3">
      <c r="A105" s="6">
        <v>104</v>
      </c>
      <c r="B105" s="5" t="s">
        <v>29</v>
      </c>
      <c r="C105" s="5" t="str">
        <f>VLOOKUP(B105,Справочник!$A$2:$B$23,2,FALSE)</f>
        <v>Департамент продажи муки (Опт)</v>
      </c>
      <c r="D105" s="5" t="s">
        <v>31</v>
      </c>
      <c r="E105" s="7" t="str">
        <f>VLOOKUP(D105,Справочник!$D$2:$E$119,2,FALSE)</f>
        <v>Урунов Акмалхуча Абдуллоевич</v>
      </c>
      <c r="F105" s="2" t="s">
        <v>346</v>
      </c>
      <c r="G105" s="7" t="str">
        <f>VLOOKUP(F105,Справочник!$K$2:$L$245,2,FALSE)</f>
        <v>Менеджер по продажам</v>
      </c>
    </row>
    <row r="106" spans="1:7" ht="19.95" customHeight="1" x14ac:dyDescent="0.3">
      <c r="A106" s="5">
        <v>105</v>
      </c>
      <c r="B106" s="5" t="s">
        <v>29</v>
      </c>
      <c r="C106" s="5" t="str">
        <f>VLOOKUP(B106,Справочник!$A$2:$B$23,2,FALSE)</f>
        <v>Департамент продажи муки (Опт)</v>
      </c>
      <c r="D106" s="5" t="s">
        <v>31</v>
      </c>
      <c r="E106" s="5" t="str">
        <f>VLOOKUP(D106,Справочник!$D$2:$E$119,2,FALSE)</f>
        <v>Урунов Акмалхуча Абдуллоевич</v>
      </c>
      <c r="F106" s="2" t="s">
        <v>257</v>
      </c>
      <c r="G106" s="5" t="str">
        <f>VLOOKUP(F106,Справочник!$K$2:$L$245,2,FALSE)</f>
        <v>Руководитель</v>
      </c>
    </row>
    <row r="107" spans="1:7" ht="19.95" customHeight="1" x14ac:dyDescent="0.3">
      <c r="A107" s="6">
        <v>106</v>
      </c>
      <c r="B107" s="5" t="s">
        <v>29</v>
      </c>
      <c r="C107" s="5" t="str">
        <f>VLOOKUP(B107,Справочник!$A$2:$B$23,2,FALSE)</f>
        <v>Департамент продажи муки (Опт)</v>
      </c>
      <c r="D107" s="5" t="s">
        <v>31</v>
      </c>
      <c r="E107" s="7" t="str">
        <f>VLOOKUP(D107,Справочник!$D$2:$E$119,2,FALSE)</f>
        <v>Урунов Акмалхуча Абдуллоевич</v>
      </c>
      <c r="F107" s="2" t="s">
        <v>347</v>
      </c>
      <c r="G107" s="7" t="str">
        <f>VLOOKUP(F107,Справочник!$K$2:$L$245,2,FALSE)</f>
        <v>Руководитель направление ОПТ</v>
      </c>
    </row>
    <row r="108" spans="1:7" ht="19.95" customHeight="1" x14ac:dyDescent="0.3">
      <c r="A108" s="5">
        <v>107</v>
      </c>
      <c r="B108" s="5" t="s">
        <v>29</v>
      </c>
      <c r="C108" s="5" t="str">
        <f>VLOOKUP(B108,Справочник!$A$2:$B$23,2,FALSE)</f>
        <v>Департамент продажи муки (Опт)</v>
      </c>
      <c r="D108" s="5" t="s">
        <v>31</v>
      </c>
      <c r="E108" s="5" t="str">
        <f>VLOOKUP(D108,Справочник!$D$2:$E$119,2,FALSE)</f>
        <v>Урунов Акмалхуча Абдуллоевич</v>
      </c>
      <c r="F108" s="2" t="s">
        <v>348</v>
      </c>
      <c r="G108" s="5" t="str">
        <f>VLOOKUP(F108,Справочник!$K$2:$L$245,2,FALSE)</f>
        <v>Руководитель направление СТТ</v>
      </c>
    </row>
    <row r="109" spans="1:7" ht="19.95" customHeight="1" x14ac:dyDescent="0.3">
      <c r="A109" s="6">
        <v>108</v>
      </c>
      <c r="B109" s="5" t="s">
        <v>29</v>
      </c>
      <c r="C109" s="5" t="str">
        <f>VLOOKUP(B109,Справочник!$A$2:$B$23,2,FALSE)</f>
        <v>Департамент продажи муки (Опт)</v>
      </c>
      <c r="D109" s="5" t="s">
        <v>31</v>
      </c>
      <c r="E109" s="7" t="str">
        <f>VLOOKUP(D109,Справочник!$D$2:$E$119,2,FALSE)</f>
        <v>Урунов Акмалхуча Абдуллоевич</v>
      </c>
      <c r="F109" s="2" t="s">
        <v>349</v>
      </c>
      <c r="G109" s="7" t="str">
        <f>VLOOKUP(F109,Справочник!$K$2:$L$245,2,FALSE)</f>
        <v>Руководитель направление HoReCa</v>
      </c>
    </row>
    <row r="110" spans="1:7" ht="19.95" customHeight="1" x14ac:dyDescent="0.3">
      <c r="A110" s="5">
        <v>109</v>
      </c>
      <c r="B110" s="5" t="s">
        <v>29</v>
      </c>
      <c r="C110" s="5" t="str">
        <f>VLOOKUP(B110,Справочник!$A$2:$B$23,2,FALSE)</f>
        <v>Департамент продажи муки (Опт)</v>
      </c>
      <c r="D110" s="5" t="s">
        <v>31</v>
      </c>
      <c r="E110" s="5" t="str">
        <f>VLOOKUP(D110,Справочник!$D$2:$E$119,2,FALSE)</f>
        <v>Урунов Акмалхуча Абдуллоевич</v>
      </c>
      <c r="F110" s="2" t="s">
        <v>323</v>
      </c>
      <c r="G110" s="5" t="str">
        <f>VLOOKUP(F110,Справочник!$K$2:$L$245,2,FALSE)</f>
        <v>Складчик-продавец</v>
      </c>
    </row>
    <row r="111" spans="1:7" ht="19.95" customHeight="1" x14ac:dyDescent="0.3">
      <c r="A111" s="6">
        <v>110</v>
      </c>
      <c r="B111" s="5" t="s">
        <v>29</v>
      </c>
      <c r="C111" s="5" t="str">
        <f>VLOOKUP(B111,Справочник!$A$2:$B$23,2,FALSE)</f>
        <v>Департамент продажи муки (Опт)</v>
      </c>
      <c r="D111" s="5" t="s">
        <v>31</v>
      </c>
      <c r="E111" s="7" t="str">
        <f>VLOOKUP(D111,Справочник!$D$2:$E$119,2,FALSE)</f>
        <v>Урунов Акмалхуча Абдуллоевич</v>
      </c>
      <c r="F111" s="2" t="s">
        <v>324</v>
      </c>
      <c r="G111" s="7" t="str">
        <f>VLOOKUP(F111,Справочник!$K$2:$L$245,2,FALSE)</f>
        <v>Супервайзер</v>
      </c>
    </row>
    <row r="112" spans="1:7" ht="19.95" customHeight="1" x14ac:dyDescent="0.3">
      <c r="A112" s="5">
        <v>111</v>
      </c>
      <c r="B112" s="5" t="s">
        <v>32</v>
      </c>
      <c r="C112" s="5" t="str">
        <f>VLOOKUP(B112,Справочник!$A$2:$B$23,2,FALSE)</f>
        <v>Департамент Развития</v>
      </c>
      <c r="D112" s="5" t="s">
        <v>34</v>
      </c>
      <c r="E112" s="5" t="str">
        <f>VLOOKUP(D112,Справочник!$D$2:$E$119,2,FALSE)</f>
        <v>Ахроров Ахрорхон Аълохонович</v>
      </c>
      <c r="F112" s="2" t="s">
        <v>261</v>
      </c>
      <c r="G112" s="5" t="str">
        <f>VLOOKUP(F112,Справочник!$K$2:$L$245,2,FALSE)</f>
        <v>Аналитик</v>
      </c>
    </row>
    <row r="113" spans="1:7" ht="19.95" customHeight="1" x14ac:dyDescent="0.3">
      <c r="A113" s="6">
        <v>112</v>
      </c>
      <c r="B113" s="5" t="s">
        <v>32</v>
      </c>
      <c r="C113" s="5" t="str">
        <f>VLOOKUP(B113,Справочник!$A$2:$B$23,2,FALSE)</f>
        <v>Департамент Развития</v>
      </c>
      <c r="D113" s="5" t="s">
        <v>34</v>
      </c>
      <c r="E113" s="7" t="str">
        <f>VLOOKUP(D113,Справочник!$D$2:$E$119,2,FALSE)</f>
        <v>Ахроров Ахрорхон Аълохонович</v>
      </c>
      <c r="F113" s="2" t="s">
        <v>350</v>
      </c>
      <c r="G113" s="7" t="str">
        <f>VLOOKUP(F113,Справочник!$K$2:$L$245,2,FALSE)</f>
        <v>Аналитик-программист</v>
      </c>
    </row>
    <row r="114" spans="1:7" ht="19.95" customHeight="1" x14ac:dyDescent="0.3">
      <c r="A114" s="5">
        <v>113</v>
      </c>
      <c r="B114" s="5" t="s">
        <v>32</v>
      </c>
      <c r="C114" s="5" t="str">
        <f>VLOOKUP(B114,Справочник!$A$2:$B$23,2,FALSE)</f>
        <v>Департамент Развития</v>
      </c>
      <c r="D114" s="5" t="s">
        <v>34</v>
      </c>
      <c r="E114" s="5" t="str">
        <f>VLOOKUP(D114,Справочник!$D$2:$E$119,2,FALSE)</f>
        <v>Ахроров Ахрорхон Аълохонович</v>
      </c>
      <c r="F114" s="2" t="s">
        <v>351</v>
      </c>
      <c r="G114" s="5" t="str">
        <f>VLOOKUP(F114,Справочник!$K$2:$L$245,2,FALSE)</f>
        <v>Ведущий аналитик</v>
      </c>
    </row>
    <row r="115" spans="1:7" ht="19.95" customHeight="1" x14ac:dyDescent="0.3">
      <c r="A115" s="6">
        <v>114</v>
      </c>
      <c r="B115" s="5" t="s">
        <v>32</v>
      </c>
      <c r="C115" s="5" t="str">
        <f>VLOOKUP(B115,Справочник!$A$2:$B$23,2,FALSE)</f>
        <v>Департамент Развития</v>
      </c>
      <c r="D115" s="5" t="s">
        <v>34</v>
      </c>
      <c r="E115" s="7" t="str">
        <f>VLOOKUP(D115,Справочник!$D$2:$E$119,2,FALSE)</f>
        <v>Ахроров Ахрорхон Аълохонович</v>
      </c>
      <c r="F115" s="2" t="s">
        <v>352</v>
      </c>
      <c r="G115" s="7" t="str">
        <f>VLOOKUP(F115,Справочник!$K$2:$L$245,2,FALSE)</f>
        <v>Ведущий специалист</v>
      </c>
    </row>
    <row r="116" spans="1:7" ht="19.95" customHeight="1" x14ac:dyDescent="0.3">
      <c r="A116" s="5">
        <v>115</v>
      </c>
      <c r="B116" s="5" t="s">
        <v>32</v>
      </c>
      <c r="C116" s="5" t="str">
        <f>VLOOKUP(B116,Справочник!$A$2:$B$23,2,FALSE)</f>
        <v>Департамент Развития</v>
      </c>
      <c r="D116" s="5" t="s">
        <v>34</v>
      </c>
      <c r="E116" s="5" t="str">
        <f>VLOOKUP(D116,Справочник!$D$2:$E$119,2,FALSE)</f>
        <v>Ахроров Ахрорхон Аълохонович</v>
      </c>
      <c r="F116" s="2" t="s">
        <v>353</v>
      </c>
      <c r="G116" s="5" t="str">
        <f>VLOOKUP(F116,Справочник!$K$2:$L$245,2,FALSE)</f>
        <v>Директор департамента развития</v>
      </c>
    </row>
    <row r="117" spans="1:7" ht="19.95" customHeight="1" x14ac:dyDescent="0.3">
      <c r="A117" s="6">
        <v>116</v>
      </c>
      <c r="B117" s="5" t="s">
        <v>32</v>
      </c>
      <c r="C117" s="5" t="str">
        <f>VLOOKUP(B117,Справочник!$A$2:$B$23,2,FALSE)</f>
        <v>Департамент Развития</v>
      </c>
      <c r="D117" s="5" t="s">
        <v>34</v>
      </c>
      <c r="E117" s="7" t="str">
        <f>VLOOKUP(D117,Справочник!$D$2:$E$119,2,FALSE)</f>
        <v>Ахроров Ахрорхон Аълохонович</v>
      </c>
      <c r="F117" s="2" t="s">
        <v>354</v>
      </c>
      <c r="G117" s="7" t="str">
        <f>VLOOKUP(F117,Справочник!$K$2:$L$245,2,FALSE)</f>
        <v>Менеджер проектов</v>
      </c>
    </row>
    <row r="118" spans="1:7" ht="19.95" customHeight="1" x14ac:dyDescent="0.3">
      <c r="A118" s="5">
        <v>117</v>
      </c>
      <c r="B118" s="5" t="s">
        <v>32</v>
      </c>
      <c r="C118" s="5" t="str">
        <f>VLOOKUP(B118,Справочник!$A$2:$B$23,2,FALSE)</f>
        <v>Департамент Развития</v>
      </c>
      <c r="D118" s="5" t="s">
        <v>34</v>
      </c>
      <c r="E118" s="5" t="str">
        <f>VLOOKUP(D118,Справочник!$D$2:$E$119,2,FALSE)</f>
        <v>Ахроров Ахрорхон Аълохонович</v>
      </c>
      <c r="F118" s="2" t="s">
        <v>355</v>
      </c>
      <c r="G118" s="5" t="str">
        <f>VLOOKUP(F118,Справочник!$K$2:$L$245,2,FALSE)</f>
        <v>Методолог</v>
      </c>
    </row>
    <row r="119" spans="1:7" ht="19.95" customHeight="1" x14ac:dyDescent="0.3">
      <c r="A119" s="6">
        <v>118</v>
      </c>
      <c r="B119" s="5" t="s">
        <v>32</v>
      </c>
      <c r="C119" s="5" t="str">
        <f>VLOOKUP(B119,Справочник!$A$2:$B$23,2,FALSE)</f>
        <v>Департамент Развития</v>
      </c>
      <c r="D119" s="5" t="s">
        <v>34</v>
      </c>
      <c r="E119" s="7" t="str">
        <f>VLOOKUP(D119,Справочник!$D$2:$E$119,2,FALSE)</f>
        <v>Ахроров Ахрорхон Аълохонович</v>
      </c>
      <c r="F119" s="2" t="s">
        <v>255</v>
      </c>
      <c r="G119" s="7" t="str">
        <f>VLOOKUP(F119,Справочник!$K$2:$L$245,2,FALSE)</f>
        <v>Начальник отдела</v>
      </c>
    </row>
    <row r="120" spans="1:7" ht="34.049999999999997" customHeight="1" x14ac:dyDescent="0.3">
      <c r="A120" s="5">
        <v>119</v>
      </c>
      <c r="B120" s="5" t="s">
        <v>32</v>
      </c>
      <c r="C120" s="5" t="str">
        <f>VLOOKUP(B120,Справочник!$A$2:$B$23,2,FALSE)</f>
        <v>Департамент Развития</v>
      </c>
      <c r="D120" s="5" t="s">
        <v>34</v>
      </c>
      <c r="E120" s="5" t="str">
        <f>VLOOKUP(D120,Справочник!$D$2:$E$119,2,FALSE)</f>
        <v>Ахроров Ахрорхон Аълохонович</v>
      </c>
      <c r="F120" s="2" t="s">
        <v>356</v>
      </c>
      <c r="G120" s="5" t="str">
        <f>VLOOKUP(F120,Справочник!$K$2:$L$245,2,FALSE)</f>
        <v>Начальник отдела
 Сардори шуъба</v>
      </c>
    </row>
    <row r="121" spans="1:7" ht="19.95" customHeight="1" x14ac:dyDescent="0.3">
      <c r="A121" s="6">
        <v>120</v>
      </c>
      <c r="B121" s="5" t="s">
        <v>32</v>
      </c>
      <c r="C121" s="5" t="str">
        <f>VLOOKUP(B121,Справочник!$A$2:$B$23,2,FALSE)</f>
        <v>Департамент Развития</v>
      </c>
      <c r="D121" s="5" t="s">
        <v>34</v>
      </c>
      <c r="E121" s="7" t="str">
        <f>VLOOKUP(D121,Справочник!$D$2:$E$119,2,FALSE)</f>
        <v>Ахроров Ахрорхон Аълохонович</v>
      </c>
      <c r="F121" s="2" t="s">
        <v>357</v>
      </c>
      <c r="G121" s="7" t="str">
        <f>VLOOKUP(F121,Справочник!$K$2:$L$245,2,FALSE)</f>
        <v>Процессный аналитик</v>
      </c>
    </row>
    <row r="122" spans="1:7" ht="19.95" customHeight="1" x14ac:dyDescent="0.3">
      <c r="A122" s="5">
        <v>121</v>
      </c>
      <c r="B122" s="5" t="s">
        <v>32</v>
      </c>
      <c r="C122" s="5" t="str">
        <f>VLOOKUP(B122,Справочник!$A$2:$B$23,2,FALSE)</f>
        <v>Департамент Развития</v>
      </c>
      <c r="D122" s="5" t="s">
        <v>34</v>
      </c>
      <c r="E122" s="5" t="str">
        <f>VLOOKUP(D122,Справочник!$D$2:$E$119,2,FALSE)</f>
        <v>Ахроров Ахрорхон Аълохонович</v>
      </c>
      <c r="F122" s="2" t="s">
        <v>257</v>
      </c>
      <c r="G122" s="5" t="str">
        <f>VLOOKUP(F122,Справочник!$K$2:$L$245,2,FALSE)</f>
        <v>Руководитель</v>
      </c>
    </row>
    <row r="123" spans="1:7" ht="19.95" customHeight="1" x14ac:dyDescent="0.3">
      <c r="A123" s="6">
        <v>122</v>
      </c>
      <c r="B123" s="5" t="s">
        <v>32</v>
      </c>
      <c r="C123" s="5" t="str">
        <f>VLOOKUP(B123,Справочник!$A$2:$B$23,2,FALSE)</f>
        <v>Департамент Развития</v>
      </c>
      <c r="D123" s="5" t="s">
        <v>34</v>
      </c>
      <c r="E123" s="7" t="str">
        <f>VLOOKUP(D123,Справочник!$D$2:$E$119,2,FALSE)</f>
        <v>Ахроров Ахрорхон Аълохонович</v>
      </c>
      <c r="F123" s="2" t="s">
        <v>358</v>
      </c>
      <c r="G123" s="7" t="str">
        <f>VLOOKUP(F123,Справочник!$K$2:$L$245,2,FALSE)</f>
        <v>Специалист</v>
      </c>
    </row>
    <row r="124" spans="1:7" ht="19.95" customHeight="1" x14ac:dyDescent="0.3">
      <c r="A124" s="5">
        <v>123</v>
      </c>
      <c r="B124" s="5" t="s">
        <v>32</v>
      </c>
      <c r="C124" s="5" t="str">
        <f>VLOOKUP(B124,Справочник!$A$2:$B$23,2,FALSE)</f>
        <v>Департамент Развития</v>
      </c>
      <c r="D124" s="5" t="s">
        <v>34</v>
      </c>
      <c r="E124" s="5" t="str">
        <f>VLOOKUP(D124,Справочник!$D$2:$E$119,2,FALSE)</f>
        <v>Ахроров Ахрорхон Аълохонович</v>
      </c>
      <c r="F124" s="2" t="s">
        <v>359</v>
      </c>
      <c r="G124" s="5" t="str">
        <f>VLOOKUP(F124,Справочник!$K$2:$L$245,2,FALSE)</f>
        <v>Специалист по внутренним коммуникациям</v>
      </c>
    </row>
    <row r="125" spans="1:7" ht="19.95" customHeight="1" x14ac:dyDescent="0.3">
      <c r="A125" s="6">
        <v>124</v>
      </c>
      <c r="B125" s="5" t="s">
        <v>32</v>
      </c>
      <c r="C125" s="5" t="str">
        <f>VLOOKUP(B125,Справочник!$A$2:$B$23,2,FALSE)</f>
        <v>Департамент Развития</v>
      </c>
      <c r="D125" s="5" t="s">
        <v>34</v>
      </c>
      <c r="E125" s="7" t="str">
        <f>VLOOKUP(D125,Справочник!$D$2:$E$119,2,FALSE)</f>
        <v>Ахроров Ахрорхон Аълохонович</v>
      </c>
      <c r="F125" s="2" t="s">
        <v>360</v>
      </c>
      <c r="G125" s="7" t="str">
        <f>VLOOKUP(F125,Справочник!$K$2:$L$245,2,FALSE)</f>
        <v>Специалист по поиску и анализу кандидатов</v>
      </c>
    </row>
    <row r="126" spans="1:7" ht="19.95" customHeight="1" x14ac:dyDescent="0.3">
      <c r="A126" s="5">
        <v>125</v>
      </c>
      <c r="B126" s="5" t="s">
        <v>32</v>
      </c>
      <c r="C126" s="5" t="str">
        <f>VLOOKUP(B126,Справочник!$A$2:$B$23,2,FALSE)</f>
        <v>Департамент Развития</v>
      </c>
      <c r="D126" s="5" t="s">
        <v>34</v>
      </c>
      <c r="E126" s="5" t="str">
        <f>VLOOKUP(D126,Справочник!$D$2:$E$119,2,FALSE)</f>
        <v>Ахроров Ахрорхон Аълохонович</v>
      </c>
      <c r="F126" s="2" t="s">
        <v>361</v>
      </c>
      <c r="G126" s="5" t="str">
        <f>VLOOKUP(F126,Справочник!$K$2:$L$245,2,FALSE)</f>
        <v>Специалист по работе с молодежью</v>
      </c>
    </row>
    <row r="127" spans="1:7" ht="19.95" customHeight="1" x14ac:dyDescent="0.3">
      <c r="A127" s="6">
        <v>126</v>
      </c>
      <c r="B127" s="5" t="s">
        <v>32</v>
      </c>
      <c r="C127" s="5" t="str">
        <f>VLOOKUP(B127,Справочник!$A$2:$B$23,2,FALSE)</f>
        <v>Департамент Развития</v>
      </c>
      <c r="D127" s="5" t="s">
        <v>34</v>
      </c>
      <c r="E127" s="7" t="str">
        <f>VLOOKUP(D127,Справочник!$D$2:$E$119,2,FALSE)</f>
        <v>Ахроров Ахрорхон Аълохонович</v>
      </c>
      <c r="F127" s="2" t="s">
        <v>362</v>
      </c>
      <c r="G127" s="7" t="str">
        <f>VLOOKUP(F127,Справочник!$K$2:$L$245,2,FALSE)</f>
        <v>Стажер</v>
      </c>
    </row>
    <row r="128" spans="1:7" ht="19.95" customHeight="1" x14ac:dyDescent="0.3">
      <c r="A128" s="5">
        <v>127</v>
      </c>
      <c r="B128" s="5" t="s">
        <v>32</v>
      </c>
      <c r="C128" s="5" t="str">
        <f>VLOOKUP(B128,Справочник!$A$2:$B$23,2,FALSE)</f>
        <v>Департамент Развития</v>
      </c>
      <c r="D128" s="5" t="s">
        <v>34</v>
      </c>
      <c r="E128" s="5" t="str">
        <f>VLOOKUP(D128,Справочник!$D$2:$E$119,2,FALSE)</f>
        <v>Ахроров Ахрорхон Аълохонович</v>
      </c>
      <c r="F128" s="2" t="s">
        <v>363</v>
      </c>
      <c r="G128" s="5" t="str">
        <f>VLOOKUP(F128,Справочник!$K$2:$L$245,2,FALSE)</f>
        <v>Старший специалист</v>
      </c>
    </row>
    <row r="129" spans="1:7" ht="19.95" customHeight="1" x14ac:dyDescent="0.3">
      <c r="A129" s="6">
        <v>128</v>
      </c>
      <c r="B129" s="5" t="s">
        <v>32</v>
      </c>
      <c r="C129" s="5" t="str">
        <f>VLOOKUP(B129,Справочник!$A$2:$B$23,2,FALSE)</f>
        <v>Департамент Развития</v>
      </c>
      <c r="D129" s="5" t="s">
        <v>34</v>
      </c>
      <c r="E129" s="7" t="str">
        <f>VLOOKUP(D129,Справочник!$D$2:$E$119,2,FALSE)</f>
        <v>Ахроров Ахрорхон Аълохонович</v>
      </c>
      <c r="F129" s="2" t="s">
        <v>364</v>
      </c>
      <c r="G129" s="7" t="str">
        <f>VLOOKUP(F129,Справочник!$K$2:$L$245,2,FALSE)</f>
        <v>Юрист</v>
      </c>
    </row>
    <row r="130" spans="1:7" ht="19.95" customHeight="1" x14ac:dyDescent="0.3">
      <c r="A130" s="5">
        <v>129</v>
      </c>
      <c r="B130" s="5" t="s">
        <v>32</v>
      </c>
      <c r="C130" s="5" t="str">
        <f>VLOOKUP(B130,Справочник!$A$2:$B$23,2,FALSE)</f>
        <v>Департамент Развития</v>
      </c>
      <c r="D130" s="5" t="s">
        <v>34</v>
      </c>
      <c r="E130" s="5" t="str">
        <f>VLOOKUP(D130,Справочник!$D$2:$E$119,2,FALSE)</f>
        <v>Ахроров Ахрорхон Аълохонович</v>
      </c>
      <c r="F130" s="2" t="s">
        <v>365</v>
      </c>
      <c r="G130" s="5" t="str">
        <f>VLOOKUP(F130,Справочник!$K$2:$L$245,2,FALSE)</f>
        <v>HR BP</v>
      </c>
    </row>
    <row r="131" spans="1:7" ht="19.95" customHeight="1" x14ac:dyDescent="0.3">
      <c r="A131" s="6">
        <v>130</v>
      </c>
      <c r="B131" s="5" t="s">
        <v>32</v>
      </c>
      <c r="C131" s="5" t="str">
        <f>VLOOKUP(B131,Справочник!$A$2:$B$23,2,FALSE)</f>
        <v>Департамент Развития</v>
      </c>
      <c r="D131" s="5" t="s">
        <v>34</v>
      </c>
      <c r="E131" s="7" t="str">
        <f>VLOOKUP(D131,Справочник!$D$2:$E$119,2,FALSE)</f>
        <v>Ахроров Ахрорхон Аълохонович</v>
      </c>
      <c r="F131" s="2" t="s">
        <v>366</v>
      </c>
      <c r="G131" s="7" t="str">
        <f>VLOOKUP(F131,Справочник!$K$2:$L$245,2,FALSE)</f>
        <v>HR Generalist</v>
      </c>
    </row>
    <row r="132" spans="1:7" ht="19.95" customHeight="1" x14ac:dyDescent="0.3">
      <c r="A132" s="5">
        <v>131</v>
      </c>
      <c r="B132" s="5" t="s">
        <v>32</v>
      </c>
      <c r="C132" s="5" t="str">
        <f>VLOOKUP(B132,Справочник!$A$2:$B$23,2,FALSE)</f>
        <v>Департамент Развития</v>
      </c>
      <c r="D132" s="5" t="s">
        <v>34</v>
      </c>
      <c r="E132" s="5" t="str">
        <f>VLOOKUP(D132,Справочник!$D$2:$E$119,2,FALSE)</f>
        <v>Ахроров Ахрорхон Аълохонович</v>
      </c>
      <c r="F132" s="2" t="s">
        <v>367</v>
      </c>
      <c r="G132" s="5" t="str">
        <f>VLOOKUP(F132,Справочник!$K$2:$L$245,2,FALSE)</f>
        <v>S HR BP</v>
      </c>
    </row>
    <row r="133" spans="1:7" ht="19.95" customHeight="1" x14ac:dyDescent="0.3">
      <c r="A133" s="6">
        <v>132</v>
      </c>
      <c r="B133" s="5" t="s">
        <v>36</v>
      </c>
      <c r="C133" s="5" t="str">
        <f>VLOOKUP(B133,Справочник!$A$2:$B$23,2,FALSE)</f>
        <v>Департамент Снабжения</v>
      </c>
      <c r="D133" s="5" t="s">
        <v>24</v>
      </c>
      <c r="E133" s="7" t="str">
        <f>VLOOKUP(D133,Справочник!$D$2:$E$119,2,FALSE)</f>
        <v>Пономарев Олег Александрович</v>
      </c>
      <c r="F133" s="2" t="s">
        <v>352</v>
      </c>
      <c r="G133" s="7" t="str">
        <f>VLOOKUP(F133,Справочник!$K$2:$L$245,2,FALSE)</f>
        <v>Ведущий специалист</v>
      </c>
    </row>
    <row r="134" spans="1:7" ht="19.95" customHeight="1" x14ac:dyDescent="0.3">
      <c r="A134" s="5">
        <v>133</v>
      </c>
      <c r="B134" s="5" t="s">
        <v>36</v>
      </c>
      <c r="C134" s="5" t="str">
        <f>VLOOKUP(B134,Справочник!$A$2:$B$23,2,FALSE)</f>
        <v>Департамент Снабжения</v>
      </c>
      <c r="D134" s="5" t="s">
        <v>24</v>
      </c>
      <c r="E134" s="5" t="str">
        <f>VLOOKUP(D134,Справочник!$D$2:$E$119,2,FALSE)</f>
        <v>Пономарев Олег Александрович</v>
      </c>
      <c r="F134" s="2" t="s">
        <v>368</v>
      </c>
      <c r="G134" s="5" t="str">
        <f>VLOOKUP(F134,Справочник!$K$2:$L$245,2,FALSE)</f>
        <v>Весовщик</v>
      </c>
    </row>
    <row r="135" spans="1:7" ht="19.95" customHeight="1" x14ac:dyDescent="0.3">
      <c r="A135" s="6">
        <v>134</v>
      </c>
      <c r="B135" s="5" t="s">
        <v>36</v>
      </c>
      <c r="C135" s="5" t="str">
        <f>VLOOKUP(B135,Справочник!$A$2:$B$23,2,FALSE)</f>
        <v>Департамент Снабжения</v>
      </c>
      <c r="D135" s="5" t="s">
        <v>24</v>
      </c>
      <c r="E135" s="7" t="str">
        <f>VLOOKUP(D135,Справочник!$D$2:$E$119,2,FALSE)</f>
        <v>Пономарев Олег Александрович</v>
      </c>
      <c r="F135" s="2" t="s">
        <v>317</v>
      </c>
      <c r="G135" s="7" t="str">
        <f>VLOOKUP(F135,Справочник!$K$2:$L$245,2,FALSE)</f>
        <v>Грузчик</v>
      </c>
    </row>
    <row r="136" spans="1:7" ht="19.95" customHeight="1" x14ac:dyDescent="0.3">
      <c r="A136" s="5">
        <v>135</v>
      </c>
      <c r="B136" s="5" t="s">
        <v>36</v>
      </c>
      <c r="C136" s="5" t="str">
        <f>VLOOKUP(B136,Справочник!$A$2:$B$23,2,FALSE)</f>
        <v>Департамент Снабжения</v>
      </c>
      <c r="D136" s="5" t="s">
        <v>24</v>
      </c>
      <c r="E136" s="5" t="str">
        <f>VLOOKUP(D136,Справочник!$D$2:$E$119,2,FALSE)</f>
        <v>Пономарев Олег Александрович</v>
      </c>
      <c r="F136" s="2" t="s">
        <v>369</v>
      </c>
      <c r="G136" s="5" t="str">
        <f>VLOOKUP(F136,Справочник!$K$2:$L$245,2,FALSE)</f>
        <v>Директор</v>
      </c>
    </row>
    <row r="137" spans="1:7" ht="19.95" customHeight="1" x14ac:dyDescent="0.3">
      <c r="A137" s="6">
        <v>136</v>
      </c>
      <c r="B137" s="5" t="s">
        <v>36</v>
      </c>
      <c r="C137" s="5" t="str">
        <f>VLOOKUP(B137,Справочник!$A$2:$B$23,2,FALSE)</f>
        <v>Департамент Снабжения</v>
      </c>
      <c r="D137" s="5" t="s">
        <v>24</v>
      </c>
      <c r="E137" s="7" t="str">
        <f>VLOOKUP(D137,Справочник!$D$2:$E$119,2,FALSE)</f>
        <v>Пономарев Олег Александрович</v>
      </c>
      <c r="F137" s="2" t="s">
        <v>318</v>
      </c>
      <c r="G137" s="7" t="str">
        <f>VLOOKUP(F137,Справочник!$K$2:$L$245,2,FALSE)</f>
        <v>Заведующий складом</v>
      </c>
    </row>
    <row r="138" spans="1:7" ht="19.95" customHeight="1" x14ac:dyDescent="0.3">
      <c r="A138" s="5">
        <v>137</v>
      </c>
      <c r="B138" s="5" t="s">
        <v>36</v>
      </c>
      <c r="C138" s="5" t="str">
        <f>VLOOKUP(B138,Справочник!$A$2:$B$23,2,FALSE)</f>
        <v>Департамент Снабжения</v>
      </c>
      <c r="D138" s="5" t="s">
        <v>24</v>
      </c>
      <c r="E138" s="5" t="str">
        <f>VLOOKUP(D138,Справочник!$D$2:$E$119,2,FALSE)</f>
        <v>Пономарев Олег Александрович</v>
      </c>
      <c r="F138" s="2" t="s">
        <v>370</v>
      </c>
      <c r="G138" s="5" t="str">
        <f>VLOOKUP(F138,Справочник!$K$2:$L$245,2,FALSE)</f>
        <v>Мастер</v>
      </c>
    </row>
    <row r="139" spans="1:7" ht="19.95" customHeight="1" x14ac:dyDescent="0.3">
      <c r="A139" s="6">
        <v>138</v>
      </c>
      <c r="B139" s="5" t="s">
        <v>36</v>
      </c>
      <c r="C139" s="5" t="str">
        <f>VLOOKUP(B139,Справочник!$A$2:$B$23,2,FALSE)</f>
        <v>Департамент Снабжения</v>
      </c>
      <c r="D139" s="5" t="s">
        <v>24</v>
      </c>
      <c r="E139" s="7" t="str">
        <f>VLOOKUP(D139,Справочник!$D$2:$E$119,2,FALSE)</f>
        <v>Пономарев Олег Александрович</v>
      </c>
      <c r="F139" s="2" t="s">
        <v>294</v>
      </c>
      <c r="G139" s="7" t="str">
        <f>VLOOKUP(F139,Справочник!$K$2:$L$245,2,FALSE)</f>
        <v>Механик</v>
      </c>
    </row>
    <row r="140" spans="1:7" ht="19.95" customHeight="1" x14ac:dyDescent="0.3">
      <c r="A140" s="5">
        <v>139</v>
      </c>
      <c r="B140" s="5" t="s">
        <v>36</v>
      </c>
      <c r="C140" s="5" t="str">
        <f>VLOOKUP(B140,Справочник!$A$2:$B$23,2,FALSE)</f>
        <v>Департамент Снабжения</v>
      </c>
      <c r="D140" s="5" t="s">
        <v>24</v>
      </c>
      <c r="E140" s="5" t="str">
        <f>VLOOKUP(D140,Справочник!$D$2:$E$119,2,FALSE)</f>
        <v>Пономарев Олег Александрович</v>
      </c>
      <c r="F140" s="2" t="s">
        <v>297</v>
      </c>
      <c r="G140" s="5" t="str">
        <f>VLOOKUP(F140,Справочник!$K$2:$L$245,2,FALSE)</f>
        <v>Начальник</v>
      </c>
    </row>
    <row r="141" spans="1:7" ht="19.95" customHeight="1" x14ac:dyDescent="0.3">
      <c r="A141" s="6">
        <v>140</v>
      </c>
      <c r="B141" s="5" t="s">
        <v>36</v>
      </c>
      <c r="C141" s="5" t="str">
        <f>VLOOKUP(B141,Справочник!$A$2:$B$23,2,FALSE)</f>
        <v>Департамент Снабжения</v>
      </c>
      <c r="D141" s="5" t="s">
        <v>24</v>
      </c>
      <c r="E141" s="7" t="str">
        <f>VLOOKUP(D141,Справочник!$D$2:$E$119,2,FALSE)</f>
        <v>Пономарев Олег Александрович</v>
      </c>
      <c r="F141" s="2" t="s">
        <v>371</v>
      </c>
      <c r="G141" s="7" t="str">
        <f>VLOOKUP(F141,Справочник!$K$2:$L$245,2,FALSE)</f>
        <v>Начальник склада тары</v>
      </c>
    </row>
    <row r="142" spans="1:7" ht="19.95" customHeight="1" x14ac:dyDescent="0.3">
      <c r="A142" s="5">
        <v>141</v>
      </c>
      <c r="B142" s="5" t="s">
        <v>36</v>
      </c>
      <c r="C142" s="5" t="str">
        <f>VLOOKUP(B142,Справочник!$A$2:$B$23,2,FALSE)</f>
        <v>Департамент Снабжения</v>
      </c>
      <c r="D142" s="5" t="s">
        <v>24</v>
      </c>
      <c r="E142" s="5" t="str">
        <f>VLOOKUP(D142,Справочник!$D$2:$E$119,2,FALSE)</f>
        <v>Пономарев Олег Александрович</v>
      </c>
      <c r="F142" s="2" t="s">
        <v>372</v>
      </c>
      <c r="G142" s="5" t="str">
        <f>VLOOKUP(F142,Справочник!$K$2:$L$245,2,FALSE)</f>
        <v>Руководитель по развитию</v>
      </c>
    </row>
    <row r="143" spans="1:7" ht="19.95" customHeight="1" x14ac:dyDescent="0.3">
      <c r="A143" s="6">
        <v>142</v>
      </c>
      <c r="B143" s="5" t="s">
        <v>36</v>
      </c>
      <c r="C143" s="5" t="str">
        <f>VLOOKUP(B143,Справочник!$A$2:$B$23,2,FALSE)</f>
        <v>Департамент Снабжения</v>
      </c>
      <c r="D143" s="5" t="s">
        <v>24</v>
      </c>
      <c r="E143" s="7" t="str">
        <f>VLOOKUP(D143,Справочник!$D$2:$E$119,2,FALSE)</f>
        <v>Пономарев Олег Александрович</v>
      </c>
      <c r="F143" s="2" t="s">
        <v>358</v>
      </c>
      <c r="G143" s="7" t="str">
        <f>VLOOKUP(F143,Справочник!$K$2:$L$245,2,FALSE)</f>
        <v>Специалист</v>
      </c>
    </row>
    <row r="144" spans="1:7" ht="19.95" customHeight="1" x14ac:dyDescent="0.3">
      <c r="A144" s="5">
        <v>143</v>
      </c>
      <c r="B144" s="5" t="s">
        <v>36</v>
      </c>
      <c r="C144" s="5" t="str">
        <f>VLOOKUP(B144,Справочник!$A$2:$B$23,2,FALSE)</f>
        <v>Департамент Снабжения</v>
      </c>
      <c r="D144" s="5" t="s">
        <v>24</v>
      </c>
      <c r="E144" s="5" t="str">
        <f>VLOOKUP(D144,Справочник!$D$2:$E$119,2,FALSE)</f>
        <v>Пономарев Олег Александрович</v>
      </c>
      <c r="F144" s="2" t="s">
        <v>363</v>
      </c>
      <c r="G144" s="5" t="str">
        <f>VLOOKUP(F144,Справочник!$K$2:$L$245,2,FALSE)</f>
        <v>Старший специалист</v>
      </c>
    </row>
    <row r="145" spans="1:7" ht="34.049999999999997" customHeight="1" x14ac:dyDescent="0.3">
      <c r="A145" s="6">
        <v>144</v>
      </c>
      <c r="B145" s="5" t="s">
        <v>37</v>
      </c>
      <c r="C145" s="5" t="str">
        <f>VLOOKUP(B145,Справочник!$A$2:$B$23,2,FALSE)</f>
        <v>Дивизион масла</v>
      </c>
      <c r="D145" s="5" t="s">
        <v>39</v>
      </c>
      <c r="E145" s="7" t="str">
        <f>VLOOKUP(D145,Справочник!$D$2:$E$119,2,FALSE)</f>
        <v>Ахмедбоев Мубинчон Мукимчонович</v>
      </c>
      <c r="F145" s="2" t="s">
        <v>268</v>
      </c>
      <c r="G145" s="7" t="str">
        <f>VLOOKUP(F145,Справочник!$K$2:$L$245,2,FALSE)</f>
        <v>Вспомогательный работник</v>
      </c>
    </row>
    <row r="146" spans="1:7" ht="34.049999999999997" customHeight="1" x14ac:dyDescent="0.3">
      <c r="A146" s="5">
        <v>145</v>
      </c>
      <c r="B146" s="5" t="s">
        <v>37</v>
      </c>
      <c r="C146" s="5" t="str">
        <f>VLOOKUP(B146,Справочник!$A$2:$B$23,2,FALSE)</f>
        <v>Дивизион масла</v>
      </c>
      <c r="D146" s="5" t="s">
        <v>39</v>
      </c>
      <c r="E146" s="5" t="str">
        <f>VLOOKUP(D146,Справочник!$D$2:$E$119,2,FALSE)</f>
        <v>Ахмедбоев Мубинчон Мукимчонович</v>
      </c>
      <c r="F146" s="2" t="s">
        <v>270</v>
      </c>
      <c r="G146" s="5" t="str">
        <f>VLOOKUP(F146,Справочник!$K$2:$L$245,2,FALSE)</f>
        <v>Главный инженер</v>
      </c>
    </row>
    <row r="147" spans="1:7" ht="34.049999999999997" customHeight="1" x14ac:dyDescent="0.3">
      <c r="A147" s="6">
        <v>146</v>
      </c>
      <c r="B147" s="5" t="s">
        <v>37</v>
      </c>
      <c r="C147" s="5" t="str">
        <f>VLOOKUP(B147,Справочник!$A$2:$B$23,2,FALSE)</f>
        <v>Дивизион масла</v>
      </c>
      <c r="D147" s="5" t="s">
        <v>39</v>
      </c>
      <c r="E147" s="7" t="str">
        <f>VLOOKUP(D147,Справочник!$D$2:$E$119,2,FALSE)</f>
        <v>Ахмедбоев Мубинчон Мукимчонович</v>
      </c>
      <c r="F147" s="2" t="s">
        <v>271</v>
      </c>
      <c r="G147" s="7" t="str">
        <f>VLOOKUP(F147,Справочник!$K$2:$L$245,2,FALSE)</f>
        <v>Главный технолог</v>
      </c>
    </row>
    <row r="148" spans="1:7" ht="34.049999999999997" customHeight="1" x14ac:dyDescent="0.3">
      <c r="A148" s="5">
        <v>147</v>
      </c>
      <c r="B148" s="5" t="s">
        <v>37</v>
      </c>
      <c r="C148" s="5" t="str">
        <f>VLOOKUP(B148,Справочник!$A$2:$B$23,2,FALSE)</f>
        <v>Дивизион масла</v>
      </c>
      <c r="D148" s="5" t="s">
        <v>39</v>
      </c>
      <c r="E148" s="5" t="str">
        <f>VLOOKUP(D148,Справочник!$D$2:$E$119,2,FALSE)</f>
        <v>Ахмедбоев Мубинчон Мукимчонович</v>
      </c>
      <c r="F148" s="2" t="s">
        <v>317</v>
      </c>
      <c r="G148" s="5" t="str">
        <f>VLOOKUP(F148,Справочник!$K$2:$L$245,2,FALSE)</f>
        <v>Грузчик</v>
      </c>
    </row>
    <row r="149" spans="1:7" ht="34.049999999999997" customHeight="1" x14ac:dyDescent="0.3">
      <c r="A149" s="6">
        <v>148</v>
      </c>
      <c r="B149" s="5" t="s">
        <v>37</v>
      </c>
      <c r="C149" s="5" t="str">
        <f>VLOOKUP(B149,Справочник!$A$2:$B$23,2,FALSE)</f>
        <v>Дивизион масла</v>
      </c>
      <c r="D149" s="5" t="s">
        <v>39</v>
      </c>
      <c r="E149" s="7" t="str">
        <f>VLOOKUP(D149,Справочник!$D$2:$E$119,2,FALSE)</f>
        <v>Ахмедбоев Мубинчон Мукимчонович</v>
      </c>
      <c r="F149" s="2" t="s">
        <v>373</v>
      </c>
      <c r="G149" s="7" t="str">
        <f>VLOOKUP(F149,Справочник!$K$2:$L$245,2,FALSE)</f>
        <v>Заведующей лабораторией</v>
      </c>
    </row>
    <row r="150" spans="1:7" ht="34.049999999999997" customHeight="1" x14ac:dyDescent="0.3">
      <c r="A150" s="5">
        <v>149</v>
      </c>
      <c r="B150" s="5" t="s">
        <v>37</v>
      </c>
      <c r="C150" s="5" t="str">
        <f>VLOOKUP(B150,Справочник!$A$2:$B$23,2,FALSE)</f>
        <v>Дивизион масла</v>
      </c>
      <c r="D150" s="5" t="s">
        <v>39</v>
      </c>
      <c r="E150" s="5" t="str">
        <f>VLOOKUP(D150,Справочник!$D$2:$E$119,2,FALSE)</f>
        <v>Ахмедбоев Мубинчон Мукимчонович</v>
      </c>
      <c r="F150" s="2" t="s">
        <v>318</v>
      </c>
      <c r="G150" s="5" t="str">
        <f>VLOOKUP(F150,Справочник!$K$2:$L$245,2,FALSE)</f>
        <v>Заведующий складом</v>
      </c>
    </row>
    <row r="151" spans="1:7" ht="34.049999999999997" customHeight="1" x14ac:dyDescent="0.3">
      <c r="A151" s="6">
        <v>150</v>
      </c>
      <c r="B151" s="5" t="s">
        <v>37</v>
      </c>
      <c r="C151" s="5" t="str">
        <f>VLOOKUP(B151,Справочник!$A$2:$B$23,2,FALSE)</f>
        <v>Дивизион масла</v>
      </c>
      <c r="D151" s="5" t="s">
        <v>39</v>
      </c>
      <c r="E151" s="7" t="str">
        <f>VLOOKUP(D151,Справочник!$D$2:$E$119,2,FALSE)</f>
        <v>Ахмедбоев Мубинчон Мукимчонович</v>
      </c>
      <c r="F151" s="2" t="s">
        <v>319</v>
      </c>
      <c r="G151" s="7" t="str">
        <f>VLOOKUP(F151,Справочник!$K$2:$L$245,2,FALSE)</f>
        <v>Кладовщик</v>
      </c>
    </row>
    <row r="152" spans="1:7" ht="34.049999999999997" customHeight="1" x14ac:dyDescent="0.3">
      <c r="A152" s="5">
        <v>151</v>
      </c>
      <c r="B152" s="5" t="s">
        <v>37</v>
      </c>
      <c r="C152" s="5" t="str">
        <f>VLOOKUP(B152,Справочник!$A$2:$B$23,2,FALSE)</f>
        <v>Дивизион масла</v>
      </c>
      <c r="D152" s="5" t="s">
        <v>39</v>
      </c>
      <c r="E152" s="5" t="str">
        <f>VLOOKUP(D152,Справочник!$D$2:$E$119,2,FALSE)</f>
        <v>Ахмедбоев Мубинчон Мукимчонович</v>
      </c>
      <c r="F152" s="2" t="s">
        <v>374</v>
      </c>
      <c r="G152" s="5" t="str">
        <f>VLOOKUP(F152,Справочник!$K$2:$L$245,2,FALSE)</f>
        <v>Кочегар</v>
      </c>
    </row>
    <row r="153" spans="1:7" ht="34.049999999999997" customHeight="1" x14ac:dyDescent="0.3">
      <c r="A153" s="6">
        <v>152</v>
      </c>
      <c r="B153" s="5" t="s">
        <v>37</v>
      </c>
      <c r="C153" s="5" t="str">
        <f>VLOOKUP(B153,Справочник!$A$2:$B$23,2,FALSE)</f>
        <v>Дивизион масла</v>
      </c>
      <c r="D153" s="5" t="s">
        <v>39</v>
      </c>
      <c r="E153" s="7" t="str">
        <f>VLOOKUP(D153,Справочник!$D$2:$E$119,2,FALSE)</f>
        <v>Ахмедбоев Мубинчон Мукимчонович</v>
      </c>
      <c r="F153" s="2" t="s">
        <v>252</v>
      </c>
      <c r="G153" s="7" t="str">
        <f>VLOOKUP(F153,Справочник!$K$2:$L$245,2,FALSE)</f>
        <v>Лаборант</v>
      </c>
    </row>
    <row r="154" spans="1:7" ht="34.049999999999997" customHeight="1" x14ac:dyDescent="0.3">
      <c r="A154" s="5">
        <v>153</v>
      </c>
      <c r="B154" s="5" t="s">
        <v>37</v>
      </c>
      <c r="C154" s="5" t="str">
        <f>VLOOKUP(B154,Справочник!$A$2:$B$23,2,FALSE)</f>
        <v>Дивизион масла</v>
      </c>
      <c r="D154" s="5" t="s">
        <v>39</v>
      </c>
      <c r="E154" s="5" t="str">
        <f>VLOOKUP(D154,Справочник!$D$2:$E$119,2,FALSE)</f>
        <v>Ахмедбоев Мубинчон Мукимчонович</v>
      </c>
      <c r="F154" s="2" t="s">
        <v>294</v>
      </c>
      <c r="G154" s="5" t="str">
        <f>VLOOKUP(F154,Справочник!$K$2:$L$245,2,FALSE)</f>
        <v>Механик</v>
      </c>
    </row>
    <row r="155" spans="1:7" ht="34.049999999999997" customHeight="1" x14ac:dyDescent="0.3">
      <c r="A155" s="6">
        <v>154</v>
      </c>
      <c r="B155" s="5" t="s">
        <v>37</v>
      </c>
      <c r="C155" s="5" t="str">
        <f>VLOOKUP(B155,Справочник!$A$2:$B$23,2,FALSE)</f>
        <v>Дивизион масла</v>
      </c>
      <c r="D155" s="5" t="s">
        <v>39</v>
      </c>
      <c r="E155" s="7" t="str">
        <f>VLOOKUP(D155,Справочник!$D$2:$E$119,2,FALSE)</f>
        <v>Ахмедбоев Мубинчон Мукимчонович</v>
      </c>
      <c r="F155" s="2" t="s">
        <v>375</v>
      </c>
      <c r="G155" s="7" t="str">
        <f>VLOOKUP(F155,Справочник!$K$2:$L$245,2,FALSE)</f>
        <v>Начальник цеха</v>
      </c>
    </row>
    <row r="156" spans="1:7" ht="34.049999999999997" customHeight="1" x14ac:dyDescent="0.3">
      <c r="A156" s="5">
        <v>155</v>
      </c>
      <c r="B156" s="5" t="s">
        <v>37</v>
      </c>
      <c r="C156" s="5" t="str">
        <f>VLOOKUP(B156,Справочник!$A$2:$B$23,2,FALSE)</f>
        <v>Дивизион масла</v>
      </c>
      <c r="D156" s="5" t="s">
        <v>39</v>
      </c>
      <c r="E156" s="5" t="str">
        <f>VLOOKUP(D156,Справочник!$D$2:$E$119,2,FALSE)</f>
        <v>Ахмедбоев Мубинчон Мукимчонович</v>
      </c>
      <c r="F156" s="2" t="s">
        <v>300</v>
      </c>
      <c r="G156" s="5" t="str">
        <f>VLOOKUP(F156,Справочник!$K$2:$L$245,2,FALSE)</f>
        <v>Оператор</v>
      </c>
    </row>
    <row r="157" spans="1:7" ht="34.049999999999997" customHeight="1" x14ac:dyDescent="0.3">
      <c r="A157" s="6">
        <v>156</v>
      </c>
      <c r="B157" s="5" t="s">
        <v>37</v>
      </c>
      <c r="C157" s="5" t="str">
        <f>VLOOKUP(B157,Справочник!$A$2:$B$23,2,FALSE)</f>
        <v>Дивизион масла</v>
      </c>
      <c r="D157" s="5" t="s">
        <v>39</v>
      </c>
      <c r="E157" s="7" t="str">
        <f>VLOOKUP(D157,Справочник!$D$2:$E$119,2,FALSE)</f>
        <v>Ахмедбоев Мубинчон Мукимчонович</v>
      </c>
      <c r="F157" s="2" t="s">
        <v>376</v>
      </c>
      <c r="G157" s="7" t="str">
        <f>VLOOKUP(F157,Справочник!$K$2:$L$245,2,FALSE)</f>
        <v>Оператор кательной</v>
      </c>
    </row>
    <row r="158" spans="1:7" ht="34.049999999999997" customHeight="1" x14ac:dyDescent="0.3">
      <c r="A158" s="5">
        <v>157</v>
      </c>
      <c r="B158" s="5" t="s">
        <v>37</v>
      </c>
      <c r="C158" s="5" t="str">
        <f>VLOOKUP(B158,Справочник!$A$2:$B$23,2,FALSE)</f>
        <v>Дивизион масла</v>
      </c>
      <c r="D158" s="5" t="s">
        <v>39</v>
      </c>
      <c r="E158" s="5" t="str">
        <f>VLOOKUP(D158,Справочник!$D$2:$E$119,2,FALSE)</f>
        <v>Ахмедбоев Мубинчон Мукимчонович</v>
      </c>
      <c r="F158" s="2" t="s">
        <v>257</v>
      </c>
      <c r="G158" s="5" t="str">
        <f>VLOOKUP(F158,Справочник!$K$2:$L$245,2,FALSE)</f>
        <v>Руководитель</v>
      </c>
    </row>
    <row r="159" spans="1:7" ht="34.049999999999997" customHeight="1" x14ac:dyDescent="0.3">
      <c r="A159" s="6">
        <v>158</v>
      </c>
      <c r="B159" s="5" t="s">
        <v>37</v>
      </c>
      <c r="C159" s="5" t="str">
        <f>VLOOKUP(B159,Справочник!$A$2:$B$23,2,FALSE)</f>
        <v>Дивизион масла</v>
      </c>
      <c r="D159" s="5" t="s">
        <v>39</v>
      </c>
      <c r="E159" s="7" t="str">
        <f>VLOOKUP(D159,Справочник!$D$2:$E$119,2,FALSE)</f>
        <v>Ахмедбоев Мубинчон Мукимчонович</v>
      </c>
      <c r="F159" s="2" t="s">
        <v>377</v>
      </c>
      <c r="G159" s="7" t="str">
        <f>VLOOKUP(F159,Справочник!$K$2:$L$245,2,FALSE)</f>
        <v>Старший оператор</v>
      </c>
    </row>
    <row r="160" spans="1:7" ht="34.049999999999997" customHeight="1" x14ac:dyDescent="0.3">
      <c r="A160" s="5">
        <v>159</v>
      </c>
      <c r="B160" s="5" t="s">
        <v>37</v>
      </c>
      <c r="C160" s="5" t="str">
        <f>VLOOKUP(B160,Справочник!$A$2:$B$23,2,FALSE)</f>
        <v>Дивизион масла</v>
      </c>
      <c r="D160" s="5" t="s">
        <v>39</v>
      </c>
      <c r="E160" s="5" t="str">
        <f>VLOOKUP(D160,Справочник!$D$2:$E$119,2,FALSE)</f>
        <v>Ахмедбоев Мубинчон Мукимчонович</v>
      </c>
      <c r="F160" s="2" t="s">
        <v>378</v>
      </c>
      <c r="G160" s="5" t="str">
        <f>VLOOKUP(F160,Справочник!$K$2:$L$245,2,FALSE)</f>
        <v>Техничка</v>
      </c>
    </row>
    <row r="161" spans="1:7" ht="34.049999999999997" customHeight="1" x14ac:dyDescent="0.3">
      <c r="A161" s="6">
        <v>160</v>
      </c>
      <c r="B161" s="5" t="s">
        <v>37</v>
      </c>
      <c r="C161" s="5" t="str">
        <f>VLOOKUP(B161,Справочник!$A$2:$B$23,2,FALSE)</f>
        <v>Дивизион масла</v>
      </c>
      <c r="D161" s="5" t="s">
        <v>39</v>
      </c>
      <c r="E161" s="7" t="str">
        <f>VLOOKUP(D161,Справочник!$D$2:$E$119,2,FALSE)</f>
        <v>Ахмедбоев Мубинчон Мукимчонович</v>
      </c>
      <c r="F161" s="2" t="s">
        <v>379</v>
      </c>
      <c r="G161" s="7" t="str">
        <f>VLOOKUP(F161,Справочник!$K$2:$L$245,2,FALSE)</f>
        <v>Фасовщица</v>
      </c>
    </row>
    <row r="162" spans="1:7" ht="34.049999999999997" customHeight="1" x14ac:dyDescent="0.3">
      <c r="A162" s="5">
        <v>161</v>
      </c>
      <c r="B162" s="5" t="s">
        <v>40</v>
      </c>
      <c r="C162" s="5" t="str">
        <f>VLOOKUP(B162,Справочник!$A$2:$B$23,2,FALSE)</f>
        <v>Дивизион МК</v>
      </c>
      <c r="D162" s="5" t="s">
        <v>42</v>
      </c>
      <c r="E162" s="5" t="str">
        <f>VLOOKUP(D162,Справочник!$D$2:$E$119,2,FALSE)</f>
        <v>Самандаров Исмоилхоча Вохидхочаевич</v>
      </c>
      <c r="F162" s="2" t="s">
        <v>268</v>
      </c>
      <c r="G162" s="5" t="str">
        <f>VLOOKUP(F162,Справочник!$K$2:$L$245,2,FALSE)</f>
        <v>Вспомогательный работник</v>
      </c>
    </row>
    <row r="163" spans="1:7" ht="34.049999999999997" customHeight="1" x14ac:dyDescent="0.3">
      <c r="A163" s="6">
        <v>162</v>
      </c>
      <c r="B163" s="5" t="s">
        <v>40</v>
      </c>
      <c r="C163" s="5" t="str">
        <f>VLOOKUP(B163,Справочник!$A$2:$B$23,2,FALSE)</f>
        <v>Дивизион МК</v>
      </c>
      <c r="D163" s="5" t="s">
        <v>42</v>
      </c>
      <c r="E163" s="7" t="str">
        <f>VLOOKUP(D163,Справочник!$D$2:$E$119,2,FALSE)</f>
        <v>Самандаров Исмоилхоча Вохидхочаевич</v>
      </c>
      <c r="F163" s="2" t="s">
        <v>380</v>
      </c>
      <c r="G163" s="7" t="str">
        <f>VLOOKUP(F163,Справочник!$K$2:$L$245,2,FALSE)</f>
        <v>Газоэлектросварщик</v>
      </c>
    </row>
    <row r="164" spans="1:7" ht="34.049999999999997" customHeight="1" x14ac:dyDescent="0.3">
      <c r="A164" s="5">
        <v>163</v>
      </c>
      <c r="B164" s="5" t="s">
        <v>40</v>
      </c>
      <c r="C164" s="5" t="str">
        <f>VLOOKUP(B164,Справочник!$A$2:$B$23,2,FALSE)</f>
        <v>Дивизион МК</v>
      </c>
      <c r="D164" s="5" t="s">
        <v>42</v>
      </c>
      <c r="E164" s="5" t="str">
        <f>VLOOKUP(D164,Справочник!$D$2:$E$119,2,FALSE)</f>
        <v>Самандаров Исмоилхоча Вохидхочаевич</v>
      </c>
      <c r="F164" s="2" t="s">
        <v>381</v>
      </c>
      <c r="G164" s="5" t="str">
        <f>VLOOKUP(F164,Справочник!$K$2:$L$245,2,FALSE)</f>
        <v>Главный механик</v>
      </c>
    </row>
    <row r="165" spans="1:7" ht="34.049999999999997" customHeight="1" x14ac:dyDescent="0.3">
      <c r="A165" s="6">
        <v>164</v>
      </c>
      <c r="B165" s="5" t="s">
        <v>40</v>
      </c>
      <c r="C165" s="5" t="str">
        <f>VLOOKUP(B165,Справочник!$A$2:$B$23,2,FALSE)</f>
        <v>Дивизион МК</v>
      </c>
      <c r="D165" s="5" t="s">
        <v>42</v>
      </c>
      <c r="E165" s="7" t="str">
        <f>VLOOKUP(D165,Справочник!$D$2:$E$119,2,FALSE)</f>
        <v>Самандаров Исмоилхоча Вохидхочаевич</v>
      </c>
      <c r="F165" s="2" t="s">
        <v>382</v>
      </c>
      <c r="G165" s="7" t="str">
        <f>VLOOKUP(F165,Справочник!$K$2:$L$245,2,FALSE)</f>
        <v>Жестянщик</v>
      </c>
    </row>
    <row r="166" spans="1:7" ht="34.049999999999997" customHeight="1" x14ac:dyDescent="0.3">
      <c r="A166" s="5">
        <v>165</v>
      </c>
      <c r="B166" s="5" t="s">
        <v>40</v>
      </c>
      <c r="C166" s="5" t="str">
        <f>VLOOKUP(B166,Справочник!$A$2:$B$23,2,FALSE)</f>
        <v>Дивизион МК</v>
      </c>
      <c r="D166" s="5" t="s">
        <v>42</v>
      </c>
      <c r="E166" s="5" t="str">
        <f>VLOOKUP(D166,Справочник!$D$2:$E$119,2,FALSE)</f>
        <v>Самандаров Исмоилхоча Вохидхочаевич</v>
      </c>
      <c r="F166" s="2" t="s">
        <v>318</v>
      </c>
      <c r="G166" s="5" t="str">
        <f>VLOOKUP(F166,Справочник!$K$2:$L$245,2,FALSE)</f>
        <v>Заведующий складом</v>
      </c>
    </row>
    <row r="167" spans="1:7" ht="34.049999999999997" customHeight="1" x14ac:dyDescent="0.3">
      <c r="A167" s="6">
        <v>166</v>
      </c>
      <c r="B167" s="5" t="s">
        <v>40</v>
      </c>
      <c r="C167" s="5" t="str">
        <f>VLOOKUP(B167,Справочник!$A$2:$B$23,2,FALSE)</f>
        <v>Дивизион МК</v>
      </c>
      <c r="D167" s="5" t="s">
        <v>42</v>
      </c>
      <c r="E167" s="7" t="str">
        <f>VLOOKUP(D167,Справочник!$D$2:$E$119,2,FALSE)</f>
        <v>Самандаров Исмоилхоча Вохидхочаевич</v>
      </c>
      <c r="F167" s="2" t="s">
        <v>383</v>
      </c>
      <c r="G167" s="7" t="str">
        <f>VLOOKUP(F167,Справочник!$K$2:$L$245,2,FALSE)</f>
        <v>Заместитель</v>
      </c>
    </row>
    <row r="168" spans="1:7" ht="34.049999999999997" customHeight="1" x14ac:dyDescent="0.3">
      <c r="A168" s="5">
        <v>167</v>
      </c>
      <c r="B168" s="5" t="s">
        <v>40</v>
      </c>
      <c r="C168" s="5" t="str">
        <f>VLOOKUP(B168,Справочник!$A$2:$B$23,2,FALSE)</f>
        <v>Дивизион МК</v>
      </c>
      <c r="D168" s="5" t="s">
        <v>42</v>
      </c>
      <c r="E168" s="5" t="str">
        <f>VLOOKUP(D168,Справочник!$D$2:$E$119,2,FALSE)</f>
        <v>Самандаров Исмоилхоча Вохидхочаевич</v>
      </c>
      <c r="F168" s="2" t="s">
        <v>384</v>
      </c>
      <c r="G168" s="5" t="str">
        <f>VLOOKUP(F168,Справочник!$K$2:$L$245,2,FALSE)</f>
        <v>Инженер</v>
      </c>
    </row>
    <row r="169" spans="1:7" ht="34.049999999999997" customHeight="1" x14ac:dyDescent="0.3">
      <c r="A169" s="6">
        <v>168</v>
      </c>
      <c r="B169" s="5" t="s">
        <v>40</v>
      </c>
      <c r="C169" s="5" t="str">
        <f>VLOOKUP(B169,Справочник!$A$2:$B$23,2,FALSE)</f>
        <v>Дивизион МК</v>
      </c>
      <c r="D169" s="5" t="s">
        <v>42</v>
      </c>
      <c r="E169" s="7" t="str">
        <f>VLOOKUP(D169,Справочник!$D$2:$E$119,2,FALSE)</f>
        <v>Самандаров Исмоилхоча Вохидхочаевич</v>
      </c>
      <c r="F169" s="2" t="s">
        <v>277</v>
      </c>
      <c r="G169" s="7" t="str">
        <f>VLOOKUP(F169,Справочник!$K$2:$L$245,2,FALSE)</f>
        <v>Инженер КИПиА</v>
      </c>
    </row>
    <row r="170" spans="1:7" ht="34.049999999999997" customHeight="1" x14ac:dyDescent="0.3">
      <c r="A170" s="5">
        <v>169</v>
      </c>
      <c r="B170" s="5" t="s">
        <v>40</v>
      </c>
      <c r="C170" s="5" t="str">
        <f>VLOOKUP(B170,Справочник!$A$2:$B$23,2,FALSE)</f>
        <v>Дивизион МК</v>
      </c>
      <c r="D170" s="5" t="s">
        <v>42</v>
      </c>
      <c r="E170" s="5" t="str">
        <f>VLOOKUP(D170,Справочник!$D$2:$E$119,2,FALSE)</f>
        <v>Самандаров Исмоилхоча Вохидхочаевич</v>
      </c>
      <c r="F170" s="2" t="s">
        <v>385</v>
      </c>
      <c r="G170" s="5" t="str">
        <f>VLOOKUP(F170,Справочник!$K$2:$L$245,2,FALSE)</f>
        <v>Инженер-нормировщик</v>
      </c>
    </row>
    <row r="171" spans="1:7" ht="34.049999999999997" customHeight="1" x14ac:dyDescent="0.3">
      <c r="A171" s="6">
        <v>170</v>
      </c>
      <c r="B171" s="5" t="s">
        <v>40</v>
      </c>
      <c r="C171" s="5" t="str">
        <f>VLOOKUP(B171,Справочник!$A$2:$B$23,2,FALSE)</f>
        <v>Дивизион МК</v>
      </c>
      <c r="D171" s="5" t="s">
        <v>42</v>
      </c>
      <c r="E171" s="7" t="str">
        <f>VLOOKUP(D171,Справочник!$D$2:$E$119,2,FALSE)</f>
        <v>Самандаров Исмоилхоча Вохидхочаевич</v>
      </c>
      <c r="F171" s="2" t="s">
        <v>386</v>
      </c>
      <c r="G171" s="7" t="str">
        <f>VLOOKUP(F171,Справочник!$K$2:$L$245,2,FALSE)</f>
        <v>Инженер-проектировщик</v>
      </c>
    </row>
    <row r="172" spans="1:7" ht="34.049999999999997" customHeight="1" x14ac:dyDescent="0.3">
      <c r="A172" s="5">
        <v>171</v>
      </c>
      <c r="B172" s="5" t="s">
        <v>40</v>
      </c>
      <c r="C172" s="5" t="str">
        <f>VLOOKUP(B172,Справочник!$A$2:$B$23,2,FALSE)</f>
        <v>Дивизион МК</v>
      </c>
      <c r="D172" s="5" t="s">
        <v>42</v>
      </c>
      <c r="E172" s="5" t="str">
        <f>VLOOKUP(D172,Справочник!$D$2:$E$119,2,FALSE)</f>
        <v>Самандаров Исмоилхоча Вохидхочаевич</v>
      </c>
      <c r="F172" s="2" t="s">
        <v>387</v>
      </c>
      <c r="G172" s="5" t="str">
        <f>VLOOKUP(F172,Справочник!$K$2:$L$245,2,FALSE)</f>
        <v>Инженер-сварщик</v>
      </c>
    </row>
    <row r="173" spans="1:7" ht="34.049999999999997" customHeight="1" x14ac:dyDescent="0.3">
      <c r="A173" s="6">
        <v>172</v>
      </c>
      <c r="B173" s="5" t="s">
        <v>40</v>
      </c>
      <c r="C173" s="5" t="str">
        <f>VLOOKUP(B173,Справочник!$A$2:$B$23,2,FALSE)</f>
        <v>Дивизион МК</v>
      </c>
      <c r="D173" s="5" t="s">
        <v>42</v>
      </c>
      <c r="E173" s="7" t="str">
        <f>VLOOKUP(D173,Справочник!$D$2:$E$119,2,FALSE)</f>
        <v>Самандаров Исмоилхоча Вохидхочаевич</v>
      </c>
      <c r="F173" s="2" t="s">
        <v>252</v>
      </c>
      <c r="G173" s="7" t="str">
        <f>VLOOKUP(F173,Справочник!$K$2:$L$245,2,FALSE)</f>
        <v>Лаборант</v>
      </c>
    </row>
    <row r="174" spans="1:7" ht="34.049999999999997" customHeight="1" x14ac:dyDescent="0.3">
      <c r="A174" s="5">
        <v>173</v>
      </c>
      <c r="B174" s="5" t="s">
        <v>40</v>
      </c>
      <c r="C174" s="5" t="str">
        <f>VLOOKUP(B174,Справочник!$A$2:$B$23,2,FALSE)</f>
        <v>Дивизион МК</v>
      </c>
      <c r="D174" s="5" t="s">
        <v>42</v>
      </c>
      <c r="E174" s="5" t="str">
        <f>VLOOKUP(D174,Справочник!$D$2:$E$119,2,FALSE)</f>
        <v>Самандаров Исмоилхоча Вохидхочаевич</v>
      </c>
      <c r="F174" s="2" t="s">
        <v>388</v>
      </c>
      <c r="G174" s="5" t="str">
        <f>VLOOKUP(F174,Справочник!$K$2:$L$245,2,FALSE)</f>
        <v>Маляр</v>
      </c>
    </row>
    <row r="175" spans="1:7" ht="34.049999999999997" customHeight="1" x14ac:dyDescent="0.3">
      <c r="A175" s="6">
        <v>174</v>
      </c>
      <c r="B175" s="5" t="s">
        <v>40</v>
      </c>
      <c r="C175" s="5" t="str">
        <f>VLOOKUP(B175,Справочник!$A$2:$B$23,2,FALSE)</f>
        <v>Дивизион МК</v>
      </c>
      <c r="D175" s="5" t="s">
        <v>42</v>
      </c>
      <c r="E175" s="7" t="str">
        <f>VLOOKUP(D175,Справочник!$D$2:$E$119,2,FALSE)</f>
        <v>Самандаров Исмоилхоча Вохидхочаевич</v>
      </c>
      <c r="F175" s="2" t="s">
        <v>370</v>
      </c>
      <c r="G175" s="7" t="str">
        <f>VLOOKUP(F175,Справочник!$K$2:$L$245,2,FALSE)</f>
        <v>Мастер</v>
      </c>
    </row>
    <row r="176" spans="1:7" ht="34.049999999999997" customHeight="1" x14ac:dyDescent="0.3">
      <c r="A176" s="5">
        <v>175</v>
      </c>
      <c r="B176" s="5" t="s">
        <v>40</v>
      </c>
      <c r="C176" s="5" t="str">
        <f>VLOOKUP(B176,Справочник!$A$2:$B$23,2,FALSE)</f>
        <v>Дивизион МК</v>
      </c>
      <c r="D176" s="5" t="s">
        <v>42</v>
      </c>
      <c r="E176" s="5" t="str">
        <f>VLOOKUP(D176,Справочник!$D$2:$E$119,2,FALSE)</f>
        <v>Самандаров Исмоилхоча Вохидхочаевич</v>
      </c>
      <c r="F176" s="2" t="s">
        <v>346</v>
      </c>
      <c r="G176" s="5" t="str">
        <f>VLOOKUP(F176,Справочник!$K$2:$L$245,2,FALSE)</f>
        <v>Менеджер по продажам</v>
      </c>
    </row>
    <row r="177" spans="1:7" ht="34.049999999999997" customHeight="1" x14ac:dyDescent="0.3">
      <c r="A177" s="6">
        <v>176</v>
      </c>
      <c r="B177" s="5" t="s">
        <v>40</v>
      </c>
      <c r="C177" s="5" t="str">
        <f>VLOOKUP(B177,Справочник!$A$2:$B$23,2,FALSE)</f>
        <v>Дивизион МК</v>
      </c>
      <c r="D177" s="5" t="s">
        <v>42</v>
      </c>
      <c r="E177" s="7" t="str">
        <f>VLOOKUP(D177,Справочник!$D$2:$E$119,2,FALSE)</f>
        <v>Самандаров Исмоилхоча Вохидхочаевич</v>
      </c>
      <c r="F177" s="2" t="s">
        <v>255</v>
      </c>
      <c r="G177" s="7" t="str">
        <f>VLOOKUP(F177,Справочник!$K$2:$L$245,2,FALSE)</f>
        <v>Начальник отдела</v>
      </c>
    </row>
    <row r="178" spans="1:7" ht="34.049999999999997" customHeight="1" x14ac:dyDescent="0.3">
      <c r="A178" s="5">
        <v>177</v>
      </c>
      <c r="B178" s="5" t="s">
        <v>40</v>
      </c>
      <c r="C178" s="5" t="str">
        <f>VLOOKUP(B178,Справочник!$A$2:$B$23,2,FALSE)</f>
        <v>Дивизион МК</v>
      </c>
      <c r="D178" s="5" t="s">
        <v>42</v>
      </c>
      <c r="E178" s="5" t="str">
        <f>VLOOKUP(D178,Справочник!$D$2:$E$119,2,FALSE)</f>
        <v>Самандаров Исмоилхоча Вохидхочаевич</v>
      </c>
      <c r="F178" s="2" t="s">
        <v>389</v>
      </c>
      <c r="G178" s="5" t="str">
        <f>VLOOKUP(F178,Справочник!$K$2:$L$245,2,FALSE)</f>
        <v>Начальник производства</v>
      </c>
    </row>
    <row r="179" spans="1:7" ht="34.049999999999997" customHeight="1" x14ac:dyDescent="0.3">
      <c r="A179" s="6">
        <v>178</v>
      </c>
      <c r="B179" s="5" t="s">
        <v>40</v>
      </c>
      <c r="C179" s="5" t="str">
        <f>VLOOKUP(B179,Справочник!$A$2:$B$23,2,FALSE)</f>
        <v>Дивизион МК</v>
      </c>
      <c r="D179" s="5" t="s">
        <v>42</v>
      </c>
      <c r="E179" s="7" t="str">
        <f>VLOOKUP(D179,Справочник!$D$2:$E$119,2,FALSE)</f>
        <v>Самандаров Исмоилхоча Вохидхочаевич</v>
      </c>
      <c r="F179" s="2" t="s">
        <v>300</v>
      </c>
      <c r="G179" s="7" t="str">
        <f>VLOOKUP(F179,Справочник!$K$2:$L$245,2,FALSE)</f>
        <v>Оператор</v>
      </c>
    </row>
    <row r="180" spans="1:7" ht="34.049999999999997" customHeight="1" x14ac:dyDescent="0.3">
      <c r="A180" s="5">
        <v>179</v>
      </c>
      <c r="B180" s="5" t="s">
        <v>40</v>
      </c>
      <c r="C180" s="5" t="str">
        <f>VLOOKUP(B180,Справочник!$A$2:$B$23,2,FALSE)</f>
        <v>Дивизион МК</v>
      </c>
      <c r="D180" s="5" t="s">
        <v>42</v>
      </c>
      <c r="E180" s="5" t="str">
        <f>VLOOKUP(D180,Справочник!$D$2:$E$119,2,FALSE)</f>
        <v>Самандаров Исмоилхоча Вохидхочаевич</v>
      </c>
      <c r="F180" s="2" t="s">
        <v>376</v>
      </c>
      <c r="G180" s="5" t="str">
        <f>VLOOKUP(F180,Справочник!$K$2:$L$245,2,FALSE)</f>
        <v>Оператор кательной</v>
      </c>
    </row>
    <row r="181" spans="1:7" ht="34.049999999999997" customHeight="1" x14ac:dyDescent="0.3">
      <c r="A181" s="6">
        <v>180</v>
      </c>
      <c r="B181" s="5" t="s">
        <v>40</v>
      </c>
      <c r="C181" s="5" t="str">
        <f>VLOOKUP(B181,Справочник!$A$2:$B$23,2,FALSE)</f>
        <v>Дивизион МК</v>
      </c>
      <c r="D181" s="5" t="s">
        <v>42</v>
      </c>
      <c r="E181" s="7" t="str">
        <f>VLOOKUP(D181,Справочник!$D$2:$E$119,2,FALSE)</f>
        <v>Самандаров Исмоилхоча Вохидхочаевич</v>
      </c>
      <c r="F181" s="2" t="s">
        <v>390</v>
      </c>
      <c r="G181" s="7" t="str">
        <f>VLOOKUP(F181,Справочник!$K$2:$L$245,2,FALSE)</f>
        <v>Оператор кислородной установки</v>
      </c>
    </row>
    <row r="182" spans="1:7" ht="34.049999999999997" customHeight="1" x14ac:dyDescent="0.3">
      <c r="A182" s="5">
        <v>181</v>
      </c>
      <c r="B182" s="5" t="s">
        <v>40</v>
      </c>
      <c r="C182" s="5" t="str">
        <f>VLOOKUP(B182,Справочник!$A$2:$B$23,2,FALSE)</f>
        <v>Дивизион МК</v>
      </c>
      <c r="D182" s="5" t="s">
        <v>42</v>
      </c>
      <c r="E182" s="5" t="str">
        <f>VLOOKUP(D182,Справочник!$D$2:$E$119,2,FALSE)</f>
        <v>Самандаров Исмоилхоча Вохидхочаевич</v>
      </c>
      <c r="F182" s="2" t="s">
        <v>391</v>
      </c>
      <c r="G182" s="5" t="str">
        <f>VLOOKUP(F182,Справочник!$K$2:$L$245,2,FALSE)</f>
        <v>Оператор плазморезного оборудование</v>
      </c>
    </row>
    <row r="183" spans="1:7" ht="34.049999999999997" customHeight="1" x14ac:dyDescent="0.3">
      <c r="A183" s="6">
        <v>182</v>
      </c>
      <c r="B183" s="5" t="s">
        <v>40</v>
      </c>
      <c r="C183" s="5" t="str">
        <f>VLOOKUP(B183,Справочник!$A$2:$B$23,2,FALSE)</f>
        <v>Дивизион МК</v>
      </c>
      <c r="D183" s="5" t="s">
        <v>42</v>
      </c>
      <c r="E183" s="7" t="str">
        <f>VLOOKUP(D183,Справочник!$D$2:$E$119,2,FALSE)</f>
        <v>Самандаров Исмоилхоча Вохидхочаевич</v>
      </c>
      <c r="F183" s="2" t="s">
        <v>392</v>
      </c>
      <c r="G183" s="7" t="str">
        <f>VLOOKUP(F183,Справочник!$K$2:$L$245,2,FALSE)</f>
        <v>Оператор ЧПУ</v>
      </c>
    </row>
    <row r="184" spans="1:7" ht="34.049999999999997" customHeight="1" x14ac:dyDescent="0.3">
      <c r="A184" s="5">
        <v>183</v>
      </c>
      <c r="B184" s="5" t="s">
        <v>40</v>
      </c>
      <c r="C184" s="5" t="str">
        <f>VLOOKUP(B184,Справочник!$A$2:$B$23,2,FALSE)</f>
        <v>Дивизион МК</v>
      </c>
      <c r="D184" s="5" t="s">
        <v>42</v>
      </c>
      <c r="E184" s="5" t="str">
        <f>VLOOKUP(D184,Справочник!$D$2:$E$119,2,FALSE)</f>
        <v>Самандаров Исмоилхоча Вохидхочаевич</v>
      </c>
      <c r="F184" s="2" t="s">
        <v>339</v>
      </c>
      <c r="G184" s="5" t="str">
        <f>VLOOKUP(F184,Справочник!$K$2:$L$245,2,FALSE)</f>
        <v>Руководитель департамента</v>
      </c>
    </row>
    <row r="185" spans="1:7" ht="34.049999999999997" customHeight="1" x14ac:dyDescent="0.3">
      <c r="A185" s="6">
        <v>184</v>
      </c>
      <c r="B185" s="5" t="s">
        <v>40</v>
      </c>
      <c r="C185" s="5" t="str">
        <f>VLOOKUP(B185,Справочник!$A$2:$B$23,2,FALSE)</f>
        <v>Дивизион МК</v>
      </c>
      <c r="D185" s="5" t="s">
        <v>42</v>
      </c>
      <c r="E185" s="7" t="str">
        <f>VLOOKUP(D185,Справочник!$D$2:$E$119,2,FALSE)</f>
        <v>Самандаров Исмоилхоча Вохидхочаевич</v>
      </c>
      <c r="F185" s="2" t="s">
        <v>393</v>
      </c>
      <c r="G185" s="7" t="str">
        <f>VLOOKUP(F185,Справочник!$K$2:$L$245,2,FALSE)</f>
        <v>Сборщик</v>
      </c>
    </row>
    <row r="186" spans="1:7" ht="34.049999999999997" customHeight="1" x14ac:dyDescent="0.3">
      <c r="A186" s="5">
        <v>185</v>
      </c>
      <c r="B186" s="5" t="s">
        <v>40</v>
      </c>
      <c r="C186" s="5" t="str">
        <f>VLOOKUP(B186,Справочник!$A$2:$B$23,2,FALSE)</f>
        <v>Дивизион МК</v>
      </c>
      <c r="D186" s="5" t="s">
        <v>42</v>
      </c>
      <c r="E186" s="5" t="str">
        <f>VLOOKUP(D186,Справочник!$D$2:$E$119,2,FALSE)</f>
        <v>Самандаров Исмоилхоча Вохидхочаевич</v>
      </c>
      <c r="F186" s="2" t="s">
        <v>394</v>
      </c>
      <c r="G186" s="5" t="str">
        <f>VLOOKUP(F186,Справочник!$K$2:$L$245,2,FALSE)</f>
        <v>Сверловщик</v>
      </c>
    </row>
    <row r="187" spans="1:7" ht="34.049999999999997" customHeight="1" x14ac:dyDescent="0.3">
      <c r="A187" s="6">
        <v>186</v>
      </c>
      <c r="B187" s="5" t="s">
        <v>40</v>
      </c>
      <c r="C187" s="5" t="str">
        <f>VLOOKUP(B187,Справочник!$A$2:$B$23,2,FALSE)</f>
        <v>Дивизион МК</v>
      </c>
      <c r="D187" s="5" t="s">
        <v>42</v>
      </c>
      <c r="E187" s="7" t="str">
        <f>VLOOKUP(D187,Справочник!$D$2:$E$119,2,FALSE)</f>
        <v>Самандаров Исмоилхоча Вохидхочаевич</v>
      </c>
      <c r="F187" s="2" t="s">
        <v>395</v>
      </c>
      <c r="G187" s="7" t="str">
        <f>VLOOKUP(F187,Справочник!$K$2:$L$245,2,FALSE)</f>
        <v>Слесарь-монтажник</v>
      </c>
    </row>
    <row r="188" spans="1:7" ht="34.049999999999997" customHeight="1" x14ac:dyDescent="0.3">
      <c r="A188" s="5">
        <v>187</v>
      </c>
      <c r="B188" s="5" t="s">
        <v>40</v>
      </c>
      <c r="C188" s="5" t="str">
        <f>VLOOKUP(B188,Справочник!$A$2:$B$23,2,FALSE)</f>
        <v>Дивизион МК</v>
      </c>
      <c r="D188" s="5" t="s">
        <v>42</v>
      </c>
      <c r="E188" s="5" t="str">
        <f>VLOOKUP(D188,Справочник!$D$2:$E$119,2,FALSE)</f>
        <v>Самандаров Исмоилхоча Вохидхочаевич</v>
      </c>
      <c r="F188" s="2" t="s">
        <v>396</v>
      </c>
      <c r="G188" s="5" t="str">
        <f>VLOOKUP(F188,Справочник!$K$2:$L$245,2,FALSE)</f>
        <v>Слесарь-ремонтник</v>
      </c>
    </row>
    <row r="189" spans="1:7" ht="34.049999999999997" customHeight="1" x14ac:dyDescent="0.3">
      <c r="A189" s="6">
        <v>188</v>
      </c>
      <c r="B189" s="5" t="s">
        <v>40</v>
      </c>
      <c r="C189" s="5" t="str">
        <f>VLOOKUP(B189,Справочник!$A$2:$B$23,2,FALSE)</f>
        <v>Дивизион МК</v>
      </c>
      <c r="D189" s="5" t="s">
        <v>42</v>
      </c>
      <c r="E189" s="7" t="str">
        <f>VLOOKUP(D189,Справочник!$D$2:$E$119,2,FALSE)</f>
        <v>Самандаров Исмоилхоча Вохидхочаевич</v>
      </c>
      <c r="F189" s="2" t="s">
        <v>258</v>
      </c>
      <c r="G189" s="7" t="str">
        <f>VLOOKUP(F189,Справочник!$K$2:$L$245,2,FALSE)</f>
        <v>Специалист ОТК</v>
      </c>
    </row>
    <row r="190" spans="1:7" ht="34.049999999999997" customHeight="1" x14ac:dyDescent="0.3">
      <c r="A190" s="5">
        <v>189</v>
      </c>
      <c r="B190" s="5" t="s">
        <v>40</v>
      </c>
      <c r="C190" s="5" t="str">
        <f>VLOOKUP(B190,Справочник!$A$2:$B$23,2,FALSE)</f>
        <v>Дивизион МК</v>
      </c>
      <c r="D190" s="5" t="s">
        <v>42</v>
      </c>
      <c r="E190" s="5" t="str">
        <f>VLOOKUP(D190,Справочник!$D$2:$E$119,2,FALSE)</f>
        <v>Самандаров Исмоилхоча Вохидхочаевич</v>
      </c>
      <c r="F190" s="2" t="s">
        <v>397</v>
      </c>
      <c r="G190" s="5" t="str">
        <f>VLOOKUP(F190,Справочник!$K$2:$L$245,2,FALSE)</f>
        <v>Специалист по складскому учёту</v>
      </c>
    </row>
    <row r="191" spans="1:7" ht="34.049999999999997" customHeight="1" x14ac:dyDescent="0.3">
      <c r="A191" s="6">
        <v>190</v>
      </c>
      <c r="B191" s="5" t="s">
        <v>40</v>
      </c>
      <c r="C191" s="5" t="str">
        <f>VLOOKUP(B191,Справочник!$A$2:$B$23,2,FALSE)</f>
        <v>Дивизион МК</v>
      </c>
      <c r="D191" s="5" t="s">
        <v>42</v>
      </c>
      <c r="E191" s="7" t="str">
        <f>VLOOKUP(D191,Справочник!$D$2:$E$119,2,FALSE)</f>
        <v>Самандаров Исмоилхоча Вохидхочаевич</v>
      </c>
      <c r="F191" s="2" t="s">
        <v>378</v>
      </c>
      <c r="G191" s="7" t="str">
        <f>VLOOKUP(F191,Справочник!$K$2:$L$245,2,FALSE)</f>
        <v>Техничка</v>
      </c>
    </row>
    <row r="192" spans="1:7" ht="34.049999999999997" customHeight="1" x14ac:dyDescent="0.3">
      <c r="A192" s="5">
        <v>191</v>
      </c>
      <c r="B192" s="5" t="s">
        <v>40</v>
      </c>
      <c r="C192" s="5" t="str">
        <f>VLOOKUP(B192,Справочник!$A$2:$B$23,2,FALSE)</f>
        <v>Дивизион МК</v>
      </c>
      <c r="D192" s="5" t="s">
        <v>42</v>
      </c>
      <c r="E192" s="5" t="str">
        <f>VLOOKUP(D192,Справочник!$D$2:$E$119,2,FALSE)</f>
        <v>Самандаров Исмоилхоча Вохидхочаевич</v>
      </c>
      <c r="F192" s="2" t="s">
        <v>398</v>
      </c>
      <c r="G192" s="5" t="str">
        <f>VLOOKUP(F192,Справочник!$K$2:$L$245,2,FALSE)</f>
        <v>Токарь</v>
      </c>
    </row>
    <row r="193" spans="1:7" ht="34.049999999999997" customHeight="1" x14ac:dyDescent="0.3">
      <c r="A193" s="6">
        <v>192</v>
      </c>
      <c r="B193" s="5" t="s">
        <v>40</v>
      </c>
      <c r="C193" s="5" t="str">
        <f>VLOOKUP(B193,Справочник!$A$2:$B$23,2,FALSE)</f>
        <v>Дивизион МК</v>
      </c>
      <c r="D193" s="5" t="s">
        <v>42</v>
      </c>
      <c r="E193" s="7" t="str">
        <f>VLOOKUP(D193,Справочник!$D$2:$E$119,2,FALSE)</f>
        <v>Самандаров Исмоилхоча Вохидхочаевич</v>
      </c>
      <c r="F193" s="2" t="s">
        <v>399</v>
      </c>
      <c r="G193" s="7" t="str">
        <f>VLOOKUP(F193,Справочник!$K$2:$L$245,2,FALSE)</f>
        <v>Токарь-фрезеровщик</v>
      </c>
    </row>
    <row r="194" spans="1:7" ht="34.049999999999997" customHeight="1" x14ac:dyDescent="0.3">
      <c r="A194" s="5">
        <v>193</v>
      </c>
      <c r="B194" s="5" t="s">
        <v>40</v>
      </c>
      <c r="C194" s="5" t="str">
        <f>VLOOKUP(B194,Справочник!$A$2:$B$23,2,FALSE)</f>
        <v>Дивизион МК</v>
      </c>
      <c r="D194" s="5" t="s">
        <v>42</v>
      </c>
      <c r="E194" s="5" t="str">
        <f>VLOOKUP(D194,Справочник!$D$2:$E$119,2,FALSE)</f>
        <v>Самандаров Исмоилхоча Вохидхочаевич</v>
      </c>
      <c r="F194" s="2" t="s">
        <v>400</v>
      </c>
      <c r="G194" s="5" t="str">
        <f>VLOOKUP(F194,Справочник!$K$2:$L$245,2,FALSE)</f>
        <v>Электросварщик</v>
      </c>
    </row>
    <row r="195" spans="1:7" ht="19.95" customHeight="1" x14ac:dyDescent="0.3">
      <c r="A195" s="6">
        <v>194</v>
      </c>
      <c r="B195" s="5" t="s">
        <v>44</v>
      </c>
      <c r="C195" s="5" t="str">
        <f>VLOOKUP(B195,Справочник!$A$2:$B$23,2,FALSE)</f>
        <v>Дивизион Птицефабрики</v>
      </c>
      <c r="D195" s="5" t="s">
        <v>46</v>
      </c>
      <c r="E195" s="7" t="str">
        <f>VLOOKUP(D195,Справочник!$D$2:$E$119,2,FALSE)</f>
        <v>Валиев Максудчон Абдуганиевич</v>
      </c>
      <c r="F195" s="2" t="s">
        <v>401</v>
      </c>
      <c r="G195" s="7" t="str">
        <f>VLOOKUP(F195,Справочник!$K$2:$L$245,2,FALSE)</f>
        <v>Бригадир смены</v>
      </c>
    </row>
    <row r="196" spans="1:7" ht="19.95" customHeight="1" x14ac:dyDescent="0.3">
      <c r="A196" s="5">
        <v>195</v>
      </c>
      <c r="B196" s="5" t="s">
        <v>44</v>
      </c>
      <c r="C196" s="5" t="str">
        <f>VLOOKUP(B196,Справочник!$A$2:$B$23,2,FALSE)</f>
        <v>Дивизион Птицефабрики</v>
      </c>
      <c r="D196" s="5" t="s">
        <v>46</v>
      </c>
      <c r="E196" s="5" t="str">
        <f>VLOOKUP(D196,Справочник!$D$2:$E$119,2,FALSE)</f>
        <v>Валиев Максудчон Абдуганиевич</v>
      </c>
      <c r="F196" s="2" t="s">
        <v>402</v>
      </c>
      <c r="G196" s="5" t="str">
        <f>VLOOKUP(F196,Справочник!$K$2:$L$245,2,FALSE)</f>
        <v>Вакцинатор</v>
      </c>
    </row>
    <row r="197" spans="1:7" ht="19.95" customHeight="1" x14ac:dyDescent="0.3">
      <c r="A197" s="6">
        <v>196</v>
      </c>
      <c r="B197" s="5" t="s">
        <v>44</v>
      </c>
      <c r="C197" s="5" t="str">
        <f>VLOOKUP(B197,Справочник!$A$2:$B$23,2,FALSE)</f>
        <v>Дивизион Птицефабрики</v>
      </c>
      <c r="D197" s="5" t="s">
        <v>46</v>
      </c>
      <c r="E197" s="7" t="str">
        <f>VLOOKUP(D197,Справочник!$D$2:$E$119,2,FALSE)</f>
        <v>Валиев Максудчон Абдуганиевич</v>
      </c>
      <c r="F197" s="2" t="s">
        <v>265</v>
      </c>
      <c r="G197" s="7" t="str">
        <f>VLOOKUP(F197,Справочник!$K$2:$L$245,2,FALSE)</f>
        <v>Ветеринарный врач</v>
      </c>
    </row>
    <row r="198" spans="1:7" ht="19.95" customHeight="1" x14ac:dyDescent="0.3">
      <c r="A198" s="5">
        <v>197</v>
      </c>
      <c r="B198" s="5" t="s">
        <v>44</v>
      </c>
      <c r="C198" s="5" t="str">
        <f>VLOOKUP(B198,Справочник!$A$2:$B$23,2,FALSE)</f>
        <v>Дивизион Птицефабрики</v>
      </c>
      <c r="D198" s="5" t="s">
        <v>46</v>
      </c>
      <c r="E198" s="5" t="str">
        <f>VLOOKUP(D198,Справочник!$D$2:$E$119,2,FALSE)</f>
        <v>Валиев Максудчон Абдуганиевич</v>
      </c>
      <c r="F198" s="2" t="s">
        <v>266</v>
      </c>
      <c r="G198" s="5" t="str">
        <f>VLOOKUP(F198,Справочник!$K$2:$L$245,2,FALSE)</f>
        <v>Водитель</v>
      </c>
    </row>
    <row r="199" spans="1:7" ht="19.95" customHeight="1" x14ac:dyDescent="0.3">
      <c r="A199" s="6">
        <v>198</v>
      </c>
      <c r="B199" s="5" t="s">
        <v>44</v>
      </c>
      <c r="C199" s="5" t="str">
        <f>VLOOKUP(B199,Справочник!$A$2:$B$23,2,FALSE)</f>
        <v>Дивизион Птицефабрики</v>
      </c>
      <c r="D199" s="5" t="s">
        <v>46</v>
      </c>
      <c r="E199" s="7" t="str">
        <f>VLOOKUP(D199,Справочник!$D$2:$E$119,2,FALSE)</f>
        <v>Валиев Максудчон Абдуганиевич</v>
      </c>
      <c r="F199" s="2" t="s">
        <v>268</v>
      </c>
      <c r="G199" s="7" t="str">
        <f>VLOOKUP(F199,Справочник!$K$2:$L$245,2,FALSE)</f>
        <v>Вспомогательный работник</v>
      </c>
    </row>
    <row r="200" spans="1:7" ht="19.95" customHeight="1" x14ac:dyDescent="0.3">
      <c r="A200" s="5">
        <v>199</v>
      </c>
      <c r="B200" s="5" t="s">
        <v>44</v>
      </c>
      <c r="C200" s="5" t="str">
        <f>VLOOKUP(B200,Справочник!$A$2:$B$23,2,FALSE)</f>
        <v>Дивизион Птицефабрики</v>
      </c>
      <c r="D200" s="5" t="s">
        <v>46</v>
      </c>
      <c r="E200" s="5" t="str">
        <f>VLOOKUP(D200,Справочник!$D$2:$E$119,2,FALSE)</f>
        <v>Валиев Максудчон Абдуганиевич</v>
      </c>
      <c r="F200" s="2" t="s">
        <v>317</v>
      </c>
      <c r="G200" s="5" t="str">
        <f>VLOOKUP(F200,Справочник!$K$2:$L$245,2,FALSE)</f>
        <v>Грузчик</v>
      </c>
    </row>
    <row r="201" spans="1:7" ht="19.95" customHeight="1" x14ac:dyDescent="0.3">
      <c r="A201" s="6">
        <v>200</v>
      </c>
      <c r="B201" s="5" t="s">
        <v>44</v>
      </c>
      <c r="C201" s="5" t="str">
        <f>VLOOKUP(B201,Справочник!$A$2:$B$23,2,FALSE)</f>
        <v>Дивизион Птицефабрики</v>
      </c>
      <c r="D201" s="5" t="s">
        <v>46</v>
      </c>
      <c r="E201" s="7" t="str">
        <f>VLOOKUP(D201,Справочник!$D$2:$E$119,2,FALSE)</f>
        <v>Валиев Максудчон Абдуганиевич</v>
      </c>
      <c r="F201" s="2" t="s">
        <v>318</v>
      </c>
      <c r="G201" s="7" t="str">
        <f>VLOOKUP(F201,Справочник!$K$2:$L$245,2,FALSE)</f>
        <v>Заведующий складом</v>
      </c>
    </row>
    <row r="202" spans="1:7" ht="19.95" customHeight="1" x14ac:dyDescent="0.3">
      <c r="A202" s="5">
        <v>201</v>
      </c>
      <c r="B202" s="5" t="s">
        <v>44</v>
      </c>
      <c r="C202" s="5" t="str">
        <f>VLOOKUP(B202,Справочник!$A$2:$B$23,2,FALSE)</f>
        <v>Дивизион Птицефабрики</v>
      </c>
      <c r="D202" s="5" t="s">
        <v>46</v>
      </c>
      <c r="E202" s="5" t="str">
        <f>VLOOKUP(D202,Справочник!$D$2:$E$119,2,FALSE)</f>
        <v>Валиев Максудчон Абдуганиевич</v>
      </c>
      <c r="F202" s="2" t="s">
        <v>403</v>
      </c>
      <c r="G202" s="5" t="str">
        <f>VLOOKUP(F202,Справочник!$K$2:$L$245,2,FALSE)</f>
        <v>Зоотехник</v>
      </c>
    </row>
    <row r="203" spans="1:7" ht="19.95" customHeight="1" x14ac:dyDescent="0.3">
      <c r="A203" s="6">
        <v>202</v>
      </c>
      <c r="B203" s="5" t="s">
        <v>44</v>
      </c>
      <c r="C203" s="5" t="str">
        <f>VLOOKUP(B203,Справочник!$A$2:$B$23,2,FALSE)</f>
        <v>Дивизион Птицефабрики</v>
      </c>
      <c r="D203" s="5" t="s">
        <v>46</v>
      </c>
      <c r="E203" s="7" t="str">
        <f>VLOOKUP(D203,Справочник!$D$2:$E$119,2,FALSE)</f>
        <v>Валиев Максудчон Абдуганиевич</v>
      </c>
      <c r="F203" s="2" t="s">
        <v>370</v>
      </c>
      <c r="G203" s="7" t="str">
        <f>VLOOKUP(F203,Справочник!$K$2:$L$245,2,FALSE)</f>
        <v>Мастер</v>
      </c>
    </row>
    <row r="204" spans="1:7" ht="19.95" customHeight="1" x14ac:dyDescent="0.3">
      <c r="A204" s="5">
        <v>203</v>
      </c>
      <c r="B204" s="5" t="s">
        <v>44</v>
      </c>
      <c r="C204" s="5" t="str">
        <f>VLOOKUP(B204,Справочник!$A$2:$B$23,2,FALSE)</f>
        <v>Дивизион Птицефабрики</v>
      </c>
      <c r="D204" s="5" t="s">
        <v>46</v>
      </c>
      <c r="E204" s="5" t="str">
        <f>VLOOKUP(D204,Справочник!$D$2:$E$119,2,FALSE)</f>
        <v>Валиев Максудчон Абдуганиевич</v>
      </c>
      <c r="F204" s="2" t="s">
        <v>389</v>
      </c>
      <c r="G204" s="5" t="str">
        <f>VLOOKUP(F204,Справочник!$K$2:$L$245,2,FALSE)</f>
        <v>Начальник производства</v>
      </c>
    </row>
    <row r="205" spans="1:7" ht="19.95" customHeight="1" x14ac:dyDescent="0.3">
      <c r="A205" s="6">
        <v>204</v>
      </c>
      <c r="B205" s="5" t="s">
        <v>44</v>
      </c>
      <c r="C205" s="5" t="str">
        <f>VLOOKUP(B205,Справочник!$A$2:$B$23,2,FALSE)</f>
        <v>Дивизион Птицефабрики</v>
      </c>
      <c r="D205" s="5" t="s">
        <v>46</v>
      </c>
      <c r="E205" s="7" t="str">
        <f>VLOOKUP(D205,Справочник!$D$2:$E$119,2,FALSE)</f>
        <v>Валиев Максудчон Абдуганиевич</v>
      </c>
      <c r="F205" s="2" t="s">
        <v>304</v>
      </c>
      <c r="G205" s="7" t="str">
        <f>VLOOKUP(F205,Справочник!$K$2:$L$245,2,FALSE)</f>
        <v>Птицевод</v>
      </c>
    </row>
    <row r="206" spans="1:7" ht="19.95" customHeight="1" x14ac:dyDescent="0.3">
      <c r="A206" s="5">
        <v>205</v>
      </c>
      <c r="B206" s="5" t="s">
        <v>44</v>
      </c>
      <c r="C206" s="5" t="str">
        <f>VLOOKUP(B206,Справочник!$A$2:$B$23,2,FALSE)</f>
        <v>Дивизион Птицефабрики</v>
      </c>
      <c r="D206" s="5" t="s">
        <v>46</v>
      </c>
      <c r="E206" s="5" t="str">
        <f>VLOOKUP(D206,Справочник!$D$2:$E$119,2,FALSE)</f>
        <v>Валиев Максудчон Абдуганиевич</v>
      </c>
      <c r="F206" s="2" t="s">
        <v>404</v>
      </c>
      <c r="G206" s="5" t="str">
        <f>VLOOKUP(F206,Справочник!$K$2:$L$245,2,FALSE)</f>
        <v>Сборщик яиц</v>
      </c>
    </row>
    <row r="207" spans="1:7" ht="19.95" customHeight="1" x14ac:dyDescent="0.3">
      <c r="A207" s="6">
        <v>206</v>
      </c>
      <c r="B207" s="5" t="s">
        <v>44</v>
      </c>
      <c r="C207" s="5" t="str">
        <f>VLOOKUP(B207,Справочник!$A$2:$B$23,2,FALSE)</f>
        <v>Дивизион Птицефабрики</v>
      </c>
      <c r="D207" s="5" t="s">
        <v>46</v>
      </c>
      <c r="E207" s="7" t="str">
        <f>VLOOKUP(D207,Справочник!$D$2:$E$119,2,FALSE)</f>
        <v>Валиев Максудчон Абдуганиевич</v>
      </c>
      <c r="F207" s="2" t="s">
        <v>405</v>
      </c>
      <c r="G207" s="7" t="str">
        <f>VLOOKUP(F207,Справочник!$K$2:$L$245,2,FALSE)</f>
        <v>Слесарь</v>
      </c>
    </row>
    <row r="208" spans="1:7" ht="19.95" customHeight="1" x14ac:dyDescent="0.3">
      <c r="A208" s="5">
        <v>207</v>
      </c>
      <c r="B208" s="5" t="s">
        <v>44</v>
      </c>
      <c r="C208" s="5" t="str">
        <f>VLOOKUP(B208,Справочник!$A$2:$B$23,2,FALSE)</f>
        <v>Дивизион Птицефабрики</v>
      </c>
      <c r="D208" s="5" t="s">
        <v>46</v>
      </c>
      <c r="E208" s="5" t="str">
        <f>VLOOKUP(D208,Справочник!$D$2:$E$119,2,FALSE)</f>
        <v>Валиев Максудчон Абдуганиевич</v>
      </c>
      <c r="F208" s="2" t="s">
        <v>406</v>
      </c>
      <c r="G208" s="5" t="str">
        <f>VLOOKUP(F208,Справочник!$K$2:$L$245,2,FALSE)</f>
        <v>Тракторист</v>
      </c>
    </row>
    <row r="209" spans="1:7" ht="19.95" customHeight="1" x14ac:dyDescent="0.3">
      <c r="A209" s="6">
        <v>208</v>
      </c>
      <c r="B209" s="5" t="s">
        <v>44</v>
      </c>
      <c r="C209" s="5" t="str">
        <f>VLOOKUP(B209,Справочник!$A$2:$B$23,2,FALSE)</f>
        <v>Дивизион Птицефабрики</v>
      </c>
      <c r="D209" s="5" t="s">
        <v>46</v>
      </c>
      <c r="E209" s="7" t="str">
        <f>VLOOKUP(D209,Справочник!$D$2:$E$119,2,FALSE)</f>
        <v>Валиев Максудчон Абдуганиевич</v>
      </c>
      <c r="F209" s="2" t="s">
        <v>407</v>
      </c>
      <c r="G209" s="7" t="str">
        <f>VLOOKUP(F209,Справочник!$K$2:$L$245,2,FALSE)</f>
        <v>Упаковщик яиц</v>
      </c>
    </row>
    <row r="210" spans="1:7" ht="34.049999999999997" customHeight="1" x14ac:dyDescent="0.3">
      <c r="A210" s="5">
        <v>209</v>
      </c>
      <c r="B210" s="5" t="s">
        <v>47</v>
      </c>
      <c r="C210" s="5" t="str">
        <f>VLOOKUP(B210,Справочник!$A$2:$B$23,2,FALSE)</f>
        <v>Отдел маркетинга</v>
      </c>
      <c r="D210" s="5" t="s">
        <v>49</v>
      </c>
      <c r="E210" s="5" t="str">
        <f>VLOOKUP(D210,Справочник!$D$2:$E$119,2,FALSE)</f>
        <v>Афанасьева Людмила Владимеровна</v>
      </c>
      <c r="F210" s="2" t="s">
        <v>408</v>
      </c>
      <c r="G210" s="5" t="str">
        <f>VLOOKUP(F210,Справочник!$K$2:$L$245,2,FALSE)</f>
        <v>Бренд менеджер</v>
      </c>
    </row>
    <row r="211" spans="1:7" ht="34.049999999999997" customHeight="1" x14ac:dyDescent="0.3">
      <c r="A211" s="6">
        <v>210</v>
      </c>
      <c r="B211" s="5" t="s">
        <v>47</v>
      </c>
      <c r="C211" s="5" t="str">
        <f>VLOOKUP(B211,Справочник!$A$2:$B$23,2,FALSE)</f>
        <v>Отдел маркетинга</v>
      </c>
      <c r="D211" s="5" t="s">
        <v>49</v>
      </c>
      <c r="E211" s="7" t="str">
        <f>VLOOKUP(D211,Справочник!$D$2:$E$119,2,FALSE)</f>
        <v>Афанасьева Людмила Владимеровна</v>
      </c>
      <c r="F211" s="2" t="s">
        <v>409</v>
      </c>
      <c r="G211" s="7" t="str">
        <f>VLOOKUP(F211,Справочник!$K$2:$L$245,2,FALSE)</f>
        <v>Бренд-менеджер</v>
      </c>
    </row>
    <row r="212" spans="1:7" ht="34.049999999999997" customHeight="1" x14ac:dyDescent="0.3">
      <c r="A212" s="5">
        <v>211</v>
      </c>
      <c r="B212" s="5" t="s">
        <v>47</v>
      </c>
      <c r="C212" s="5" t="str">
        <f>VLOOKUP(B212,Справочник!$A$2:$B$23,2,FALSE)</f>
        <v>Отдел маркетинга</v>
      </c>
      <c r="D212" s="5" t="s">
        <v>49</v>
      </c>
      <c r="E212" s="5" t="str">
        <f>VLOOKUP(D212,Справочник!$D$2:$E$119,2,FALSE)</f>
        <v>Афанасьева Людмила Владимеровна</v>
      </c>
      <c r="F212" s="2" t="s">
        <v>410</v>
      </c>
      <c r="G212" s="5" t="str">
        <f>VLOOKUP(F212,Справочник!$K$2:$L$245,2,FALSE)</f>
        <v>Видеограф</v>
      </c>
    </row>
    <row r="213" spans="1:7" ht="34.049999999999997" customHeight="1" x14ac:dyDescent="0.3">
      <c r="A213" s="6">
        <v>212</v>
      </c>
      <c r="B213" s="5" t="s">
        <v>47</v>
      </c>
      <c r="C213" s="5" t="str">
        <f>VLOOKUP(B213,Справочник!$A$2:$B$23,2,FALSE)</f>
        <v>Отдел маркетинга</v>
      </c>
      <c r="D213" s="5" t="s">
        <v>49</v>
      </c>
      <c r="E213" s="7" t="str">
        <f>VLOOKUP(D213,Справочник!$D$2:$E$119,2,FALSE)</f>
        <v>Афанасьева Людмила Владимеровна</v>
      </c>
      <c r="F213" s="2" t="s">
        <v>411</v>
      </c>
      <c r="G213" s="7" t="str">
        <f>VLOOKUP(F213,Справочник!$K$2:$L$245,2,FALSE)</f>
        <v>Дизайнер</v>
      </c>
    </row>
    <row r="214" spans="1:7" ht="34.049999999999997" customHeight="1" x14ac:dyDescent="0.3">
      <c r="A214" s="5">
        <v>213</v>
      </c>
      <c r="B214" s="5" t="s">
        <v>47</v>
      </c>
      <c r="C214" s="5" t="str">
        <f>VLOOKUP(B214,Справочник!$A$2:$B$23,2,FALSE)</f>
        <v>Отдел маркетинга</v>
      </c>
      <c r="D214" s="5" t="s">
        <v>49</v>
      </c>
      <c r="E214" s="5" t="str">
        <f>VLOOKUP(D214,Справочник!$D$2:$E$119,2,FALSE)</f>
        <v>Афанасьева Людмила Владимеровна</v>
      </c>
      <c r="F214" s="2" t="s">
        <v>369</v>
      </c>
      <c r="G214" s="5" t="str">
        <f>VLOOKUP(F214,Справочник!$K$2:$L$245,2,FALSE)</f>
        <v>Директор</v>
      </c>
    </row>
    <row r="215" spans="1:7" ht="34.049999999999997" customHeight="1" x14ac:dyDescent="0.3">
      <c r="A215" s="6">
        <v>214</v>
      </c>
      <c r="B215" s="5" t="s">
        <v>47</v>
      </c>
      <c r="C215" s="5" t="str">
        <f>VLOOKUP(B215,Справочник!$A$2:$B$23,2,FALSE)</f>
        <v>Отдел маркетинга</v>
      </c>
      <c r="D215" s="5" t="s">
        <v>49</v>
      </c>
      <c r="E215" s="7" t="str">
        <f>VLOOKUP(D215,Справочник!$D$2:$E$119,2,FALSE)</f>
        <v>Афанасьева Людмила Владимеровна</v>
      </c>
      <c r="F215" s="2" t="s">
        <v>412</v>
      </c>
      <c r="G215" s="7" t="str">
        <f>VLOOKUP(F215,Справочник!$K$2:$L$245,2,FALSE)</f>
        <v>Ивент-менеджер</v>
      </c>
    </row>
    <row r="216" spans="1:7" ht="34.049999999999997" customHeight="1" x14ac:dyDescent="0.3">
      <c r="A216" s="5">
        <v>215</v>
      </c>
      <c r="B216" s="5" t="s">
        <v>47</v>
      </c>
      <c r="C216" s="5" t="str">
        <f>VLOOKUP(B216,Справочник!$A$2:$B$23,2,FALSE)</f>
        <v>Отдел маркетинга</v>
      </c>
      <c r="D216" s="5" t="s">
        <v>49</v>
      </c>
      <c r="E216" s="5" t="str">
        <f>VLOOKUP(D216,Справочник!$D$2:$E$119,2,FALSE)</f>
        <v>Афанасьева Людмила Владимеровна</v>
      </c>
      <c r="F216" s="2" t="s">
        <v>413</v>
      </c>
      <c r="G216" s="5" t="str">
        <f>VLOOKUP(F216,Справочник!$K$2:$L$245,2,FALSE)</f>
        <v>Консультант-зоотехник</v>
      </c>
    </row>
    <row r="217" spans="1:7" ht="34.049999999999997" customHeight="1" x14ac:dyDescent="0.3">
      <c r="A217" s="6">
        <v>216</v>
      </c>
      <c r="B217" s="5" t="s">
        <v>47</v>
      </c>
      <c r="C217" s="5" t="str">
        <f>VLOOKUP(B217,Справочник!$A$2:$B$23,2,FALSE)</f>
        <v>Отдел маркетинга</v>
      </c>
      <c r="D217" s="5" t="s">
        <v>49</v>
      </c>
      <c r="E217" s="7" t="str">
        <f>VLOOKUP(D217,Справочник!$D$2:$E$119,2,FALSE)</f>
        <v>Афанасьева Людмила Владимеровна</v>
      </c>
      <c r="F217" s="2" t="s">
        <v>414</v>
      </c>
      <c r="G217" s="7" t="str">
        <f>VLOOKUP(F217,Справочник!$K$2:$L$245,2,FALSE)</f>
        <v>Консультант-технолог</v>
      </c>
    </row>
    <row r="218" spans="1:7" ht="34.049999999999997" customHeight="1" x14ac:dyDescent="0.3">
      <c r="A218" s="5">
        <v>217</v>
      </c>
      <c r="B218" s="5" t="s">
        <v>47</v>
      </c>
      <c r="C218" s="5" t="str">
        <f>VLOOKUP(B218,Справочник!$A$2:$B$23,2,FALSE)</f>
        <v>Отдел маркетинга</v>
      </c>
      <c r="D218" s="5" t="s">
        <v>49</v>
      </c>
      <c r="E218" s="5" t="str">
        <f>VLOOKUP(D218,Справочник!$D$2:$E$119,2,FALSE)</f>
        <v>Афанасьева Людмила Владимеровна</v>
      </c>
      <c r="F218" s="2" t="s">
        <v>415</v>
      </c>
      <c r="G218" s="5" t="str">
        <f>VLOOKUP(F218,Справочник!$K$2:$L$245,2,FALSE)</f>
        <v>Маркетолог</v>
      </c>
    </row>
    <row r="219" spans="1:7" ht="34.049999999999997" customHeight="1" x14ac:dyDescent="0.3">
      <c r="A219" s="6">
        <v>218</v>
      </c>
      <c r="B219" s="5" t="s">
        <v>47</v>
      </c>
      <c r="C219" s="5" t="str">
        <f>VLOOKUP(B219,Справочник!$A$2:$B$23,2,FALSE)</f>
        <v>Отдел маркетинга</v>
      </c>
      <c r="D219" s="5" t="s">
        <v>49</v>
      </c>
      <c r="E219" s="7" t="str">
        <f>VLOOKUP(D219,Справочник!$D$2:$E$119,2,FALSE)</f>
        <v>Афанасьева Людмила Владимеровна</v>
      </c>
      <c r="F219" s="2" t="s">
        <v>416</v>
      </c>
      <c r="G219" s="7" t="str">
        <f>VLOOKUP(F219,Справочник!$K$2:$L$245,2,FALSE)</f>
        <v>Младший бренд менеджер</v>
      </c>
    </row>
    <row r="220" spans="1:7" ht="34.049999999999997" customHeight="1" x14ac:dyDescent="0.3">
      <c r="A220" s="5">
        <v>219</v>
      </c>
      <c r="B220" s="5" t="s">
        <v>47</v>
      </c>
      <c r="C220" s="5" t="str">
        <f>VLOOKUP(B220,Справочник!$A$2:$B$23,2,FALSE)</f>
        <v>Отдел маркетинга</v>
      </c>
      <c r="D220" s="5" t="s">
        <v>49</v>
      </c>
      <c r="E220" s="5" t="str">
        <f>VLOOKUP(D220,Справочник!$D$2:$E$119,2,FALSE)</f>
        <v>Афанасьева Людмила Владимеровна</v>
      </c>
      <c r="F220" s="2" t="s">
        <v>256</v>
      </c>
      <c r="G220" s="5" t="str">
        <f>VLOOKUP(F220,Справочник!$K$2:$L$245,2,FALSE)</f>
        <v>Пекарь</v>
      </c>
    </row>
    <row r="221" spans="1:7" ht="34.049999999999997" customHeight="1" x14ac:dyDescent="0.3">
      <c r="A221" s="6">
        <v>220</v>
      </c>
      <c r="B221" s="5" t="s">
        <v>47</v>
      </c>
      <c r="C221" s="5" t="str">
        <f>VLOOKUP(B221,Справочник!$A$2:$B$23,2,FALSE)</f>
        <v>Отдел маркетинга</v>
      </c>
      <c r="D221" s="5" t="s">
        <v>49</v>
      </c>
      <c r="E221" s="7" t="str">
        <f>VLOOKUP(D221,Справочник!$D$2:$E$119,2,FALSE)</f>
        <v>Афанасьева Людмила Владимеровна</v>
      </c>
      <c r="F221" s="2" t="s">
        <v>358</v>
      </c>
      <c r="G221" s="7" t="str">
        <f>VLOOKUP(F221,Справочник!$K$2:$L$245,2,FALSE)</f>
        <v>Специалист</v>
      </c>
    </row>
    <row r="222" spans="1:7" ht="34.049999999999997" customHeight="1" x14ac:dyDescent="0.3">
      <c r="A222" s="5">
        <v>221</v>
      </c>
      <c r="B222" s="5" t="s">
        <v>47</v>
      </c>
      <c r="C222" s="5" t="str">
        <f>VLOOKUP(B222,Справочник!$A$2:$B$23,2,FALSE)</f>
        <v>Отдел маркетинга</v>
      </c>
      <c r="D222" s="5" t="s">
        <v>49</v>
      </c>
      <c r="E222" s="5" t="str">
        <f>VLOOKUP(D222,Справочник!$D$2:$E$119,2,FALSE)</f>
        <v>Афанасьева Людмила Владимеровна</v>
      </c>
      <c r="F222" s="2" t="s">
        <v>417</v>
      </c>
      <c r="G222" s="5" t="str">
        <f>VLOOKUP(F222,Справочник!$K$2:$L$245,2,FALSE)</f>
        <v>Старший Аналитик-исследователь</v>
      </c>
    </row>
    <row r="223" spans="1:7" ht="34.049999999999997" customHeight="1" x14ac:dyDescent="0.3">
      <c r="A223" s="6">
        <v>222</v>
      </c>
      <c r="B223" s="5" t="s">
        <v>47</v>
      </c>
      <c r="C223" s="5" t="str">
        <f>VLOOKUP(B223,Справочник!$A$2:$B$23,2,FALSE)</f>
        <v>Отдел маркетинга</v>
      </c>
      <c r="D223" s="5" t="s">
        <v>49</v>
      </c>
      <c r="E223" s="7" t="str">
        <f>VLOOKUP(D223,Справочник!$D$2:$E$119,2,FALSE)</f>
        <v>Афанасьева Людмила Владимеровна</v>
      </c>
      <c r="F223" s="2" t="s">
        <v>418</v>
      </c>
      <c r="G223" s="7" t="str">
        <f>VLOOKUP(F223,Справочник!$K$2:$L$245,2,FALSE)</f>
        <v>Старший бренд менеджер</v>
      </c>
    </row>
    <row r="224" spans="1:7" ht="34.049999999999997" customHeight="1" x14ac:dyDescent="0.3">
      <c r="A224" s="5">
        <v>223</v>
      </c>
      <c r="B224" s="5" t="s">
        <v>47</v>
      </c>
      <c r="C224" s="5" t="str">
        <f>VLOOKUP(B224,Справочник!$A$2:$B$23,2,FALSE)</f>
        <v>Отдел маркетинга</v>
      </c>
      <c r="D224" s="5" t="s">
        <v>49</v>
      </c>
      <c r="E224" s="5" t="str">
        <f>VLOOKUP(D224,Справочник!$D$2:$E$119,2,FALSE)</f>
        <v>Афанасьева Людмила Владимеровна</v>
      </c>
      <c r="F224" s="2" t="s">
        <v>419</v>
      </c>
      <c r="G224" s="5" t="str">
        <f>VLOOKUP(F224,Справочник!$K$2:$L$245,2,FALSE)</f>
        <v>Старший Маркетолог</v>
      </c>
    </row>
    <row r="225" spans="1:7" ht="34.049999999999997" customHeight="1" x14ac:dyDescent="0.3">
      <c r="A225" s="6">
        <v>224</v>
      </c>
      <c r="B225" s="5" t="s">
        <v>47</v>
      </c>
      <c r="C225" s="5" t="str">
        <f>VLOOKUP(B225,Справочник!$A$2:$B$23,2,FALSE)</f>
        <v>Отдел маркетинга</v>
      </c>
      <c r="D225" s="5" t="s">
        <v>49</v>
      </c>
      <c r="E225" s="7" t="str">
        <f>VLOOKUP(D225,Справочник!$D$2:$E$119,2,FALSE)</f>
        <v>Афанасьева Людмила Владимеровна</v>
      </c>
      <c r="F225" s="2" t="s">
        <v>363</v>
      </c>
      <c r="G225" s="7" t="str">
        <f>VLOOKUP(F225,Справочник!$K$2:$L$245,2,FALSE)</f>
        <v>Старший специалист</v>
      </c>
    </row>
    <row r="226" spans="1:7" ht="34.049999999999997" customHeight="1" x14ac:dyDescent="0.3">
      <c r="A226" s="5">
        <v>225</v>
      </c>
      <c r="B226" s="5" t="s">
        <v>47</v>
      </c>
      <c r="C226" s="5" t="str">
        <f>VLOOKUP(B226,Справочник!$A$2:$B$23,2,FALSE)</f>
        <v>Отдел маркетинга</v>
      </c>
      <c r="D226" s="5" t="s">
        <v>49</v>
      </c>
      <c r="E226" s="5" t="str">
        <f>VLOOKUP(D226,Справочник!$D$2:$E$119,2,FALSE)</f>
        <v>Афанасьева Людмила Владимеровна</v>
      </c>
      <c r="F226" s="2" t="s">
        <v>420</v>
      </c>
      <c r="G226" s="5" t="str">
        <f>VLOOKUP(F226,Справочник!$K$2:$L$245,2,FALSE)</f>
        <v>Старший трейд-маркетолог</v>
      </c>
    </row>
    <row r="227" spans="1:7" ht="34.049999999999997" customHeight="1" x14ac:dyDescent="0.3">
      <c r="A227" s="6">
        <v>226</v>
      </c>
      <c r="B227" s="5" t="s">
        <v>47</v>
      </c>
      <c r="C227" s="5" t="str">
        <f>VLOOKUP(B227,Справочник!$A$2:$B$23,2,FALSE)</f>
        <v>Отдел маркетинга</v>
      </c>
      <c r="D227" s="5" t="s">
        <v>49</v>
      </c>
      <c r="E227" s="7" t="str">
        <f>VLOOKUP(D227,Справочник!$D$2:$E$119,2,FALSE)</f>
        <v>Афанасьева Людмила Владимеровна</v>
      </c>
      <c r="F227" s="2" t="s">
        <v>421</v>
      </c>
      <c r="G227" s="7" t="str">
        <f>VLOOKUP(F227,Справочник!$K$2:$L$245,2,FALSE)</f>
        <v>Старший-аналитик</v>
      </c>
    </row>
    <row r="228" spans="1:7" ht="34.049999999999997" customHeight="1" x14ac:dyDescent="0.3">
      <c r="A228" s="5">
        <v>227</v>
      </c>
      <c r="B228" s="5" t="s">
        <v>47</v>
      </c>
      <c r="C228" s="5" t="str">
        <f>VLOOKUP(B228,Справочник!$A$2:$B$23,2,FALSE)</f>
        <v>Отдел маркетинга</v>
      </c>
      <c r="D228" s="5" t="s">
        <v>49</v>
      </c>
      <c r="E228" s="5" t="str">
        <f>VLOOKUP(D228,Справочник!$D$2:$E$119,2,FALSE)</f>
        <v>Афанасьева Людмила Владимеровна</v>
      </c>
      <c r="F228" s="2" t="s">
        <v>422</v>
      </c>
      <c r="G228" s="5" t="str">
        <f>VLOOKUP(F228,Справочник!$K$2:$L$245,2,FALSE)</f>
        <v>Трейд маркетолог</v>
      </c>
    </row>
    <row r="229" spans="1:7" ht="34.049999999999997" customHeight="1" x14ac:dyDescent="0.3">
      <c r="A229" s="6">
        <v>228</v>
      </c>
      <c r="B229" s="5" t="s">
        <v>47</v>
      </c>
      <c r="C229" s="5" t="str">
        <f>VLOOKUP(B229,Справочник!$A$2:$B$23,2,FALSE)</f>
        <v>Отдел маркетинга</v>
      </c>
      <c r="D229" s="5" t="s">
        <v>49</v>
      </c>
      <c r="E229" s="7" t="str">
        <f>VLOOKUP(D229,Справочник!$D$2:$E$119,2,FALSE)</f>
        <v>Афанасьева Людмила Владимеровна</v>
      </c>
      <c r="F229" s="2" t="s">
        <v>423</v>
      </c>
      <c r="G229" s="7" t="str">
        <f>VLOOKUP(F229,Справочник!$K$2:$L$245,2,FALSE)</f>
        <v>E-com маркетолог</v>
      </c>
    </row>
    <row r="230" spans="1:7" ht="34.049999999999997" customHeight="1" x14ac:dyDescent="0.3">
      <c r="A230" s="5">
        <v>229</v>
      </c>
      <c r="B230" s="5" t="s">
        <v>47</v>
      </c>
      <c r="C230" s="5" t="str">
        <f>VLOOKUP(B230,Справочник!$A$2:$B$23,2,FALSE)</f>
        <v>Отдел маркетинга</v>
      </c>
      <c r="D230" s="5" t="s">
        <v>49</v>
      </c>
      <c r="E230" s="5" t="str">
        <f>VLOOKUP(D230,Справочник!$D$2:$E$119,2,FALSE)</f>
        <v>Афанасьева Людмила Владимеровна</v>
      </c>
      <c r="F230" s="2" t="s">
        <v>424</v>
      </c>
      <c r="G230" s="5" t="str">
        <f>VLOOKUP(F230,Справочник!$K$2:$L$245,2,FALSE)</f>
        <v>SMM менеджер</v>
      </c>
    </row>
    <row r="231" spans="1:7" ht="19.95" customHeight="1" x14ac:dyDescent="0.3">
      <c r="A231" s="6">
        <v>230</v>
      </c>
      <c r="B231" s="5" t="s">
        <v>50</v>
      </c>
      <c r="C231" s="5" t="str">
        <f>VLOOKUP(B231,Справочник!$A$2:$B$23,2,FALSE)</f>
        <v>Продажа комбикорм</v>
      </c>
      <c r="D231" s="5" t="s">
        <v>52</v>
      </c>
      <c r="E231" s="7" t="str">
        <f>VLOOKUP(D231,Справочник!$D$2:$E$119,2,FALSE)</f>
        <v>Рахмонов Умедчон Турсунбоевич</v>
      </c>
      <c r="F231" s="2" t="s">
        <v>425</v>
      </c>
      <c r="G231" s="7" t="str">
        <f>VLOOKUP(F231,Справочник!$K$2:$L$245,2,FALSE)</f>
        <v>Бухгалтер</v>
      </c>
    </row>
    <row r="232" spans="1:7" ht="19.95" customHeight="1" x14ac:dyDescent="0.3">
      <c r="A232" s="5">
        <v>231</v>
      </c>
      <c r="B232" s="5" t="s">
        <v>50</v>
      </c>
      <c r="C232" s="5" t="str">
        <f>VLOOKUP(B232,Справочник!$A$2:$B$23,2,FALSE)</f>
        <v>Продажа комбикорм</v>
      </c>
      <c r="D232" s="5" t="s">
        <v>52</v>
      </c>
      <c r="E232" s="5" t="str">
        <f>VLOOKUP(D232,Справочник!$D$2:$E$119,2,FALSE)</f>
        <v>Рахмонов Умедчон Турсунбоевич</v>
      </c>
      <c r="F232" s="2" t="s">
        <v>346</v>
      </c>
      <c r="G232" s="5" t="str">
        <f>VLOOKUP(F232,Справочник!$K$2:$L$245,2,FALSE)</f>
        <v>Менеджер по продажам</v>
      </c>
    </row>
    <row r="233" spans="1:7" ht="19.95" customHeight="1" x14ac:dyDescent="0.3">
      <c r="A233" s="6">
        <v>232</v>
      </c>
      <c r="B233" s="5" t="s">
        <v>50</v>
      </c>
      <c r="C233" s="5" t="str">
        <f>VLOOKUP(B233,Справочник!$A$2:$B$23,2,FALSE)</f>
        <v>Продажа комбикорм</v>
      </c>
      <c r="D233" s="5" t="s">
        <v>52</v>
      </c>
      <c r="E233" s="7" t="str">
        <f>VLOOKUP(D233,Справочник!$D$2:$E$119,2,FALSE)</f>
        <v>Рахмонов Умедчон Турсунбоевич</v>
      </c>
      <c r="F233" s="2" t="s">
        <v>257</v>
      </c>
      <c r="G233" s="7" t="str">
        <f>VLOOKUP(F233,Справочник!$K$2:$L$245,2,FALSE)</f>
        <v>Руководитель</v>
      </c>
    </row>
    <row r="234" spans="1:7" ht="19.95" customHeight="1" x14ac:dyDescent="0.3">
      <c r="A234" s="5">
        <v>233</v>
      </c>
      <c r="B234" s="5" t="s">
        <v>53</v>
      </c>
      <c r="C234" s="5" t="str">
        <f>VLOOKUP(B234,Справочник!$A$2:$B$23,2,FALSE)</f>
        <v>Проектный офис</v>
      </c>
      <c r="D234" s="5" t="s">
        <v>55</v>
      </c>
      <c r="E234" s="5" t="str">
        <f>VLOOKUP(D234,Справочник!$D$2:$E$119,2,FALSE)</f>
        <v>Арипов Махсуд Махмудович</v>
      </c>
      <c r="F234" s="2" t="s">
        <v>426</v>
      </c>
      <c r="G234" s="5" t="str">
        <f>VLOOKUP(F234,Справочник!$K$2:$L$245,2,FALSE)</f>
        <v>Администратор проектов</v>
      </c>
    </row>
    <row r="235" spans="1:7" ht="19.95" customHeight="1" x14ac:dyDescent="0.3">
      <c r="A235" s="6">
        <v>234</v>
      </c>
      <c r="B235" s="5" t="s">
        <v>53</v>
      </c>
      <c r="C235" s="5" t="str">
        <f>VLOOKUP(B235,Справочник!$A$2:$B$23,2,FALSE)</f>
        <v>Проектный офис</v>
      </c>
      <c r="D235" s="5" t="s">
        <v>55</v>
      </c>
      <c r="E235" s="7" t="str">
        <f>VLOOKUP(D235,Справочник!$D$2:$E$119,2,FALSE)</f>
        <v>Арипов Махсуд Махмудович</v>
      </c>
      <c r="F235" s="2" t="s">
        <v>427</v>
      </c>
      <c r="G235" s="7" t="str">
        <f>VLOOKUP(F235,Справочник!$K$2:$L$245,2,FALSE)</f>
        <v>Инженер по контролю затрат</v>
      </c>
    </row>
    <row r="236" spans="1:7" ht="19.95" customHeight="1" x14ac:dyDescent="0.3">
      <c r="A236" s="5">
        <v>235</v>
      </c>
      <c r="B236" s="5" t="s">
        <v>53</v>
      </c>
      <c r="C236" s="5" t="str">
        <f>VLOOKUP(B236,Справочник!$A$2:$B$23,2,FALSE)</f>
        <v>Проектный офис</v>
      </c>
      <c r="D236" s="5" t="s">
        <v>55</v>
      </c>
      <c r="E236" s="5" t="str">
        <f>VLOOKUP(D236,Справочник!$D$2:$E$119,2,FALSE)</f>
        <v>Арипов Махсуд Махмудович</v>
      </c>
      <c r="F236" s="2" t="s">
        <v>428</v>
      </c>
      <c r="G236" s="5" t="str">
        <f>VLOOKUP(F236,Справочник!$K$2:$L$245,2,FALSE)</f>
        <v>Контракт-менеджер</v>
      </c>
    </row>
    <row r="237" spans="1:7" ht="19.95" customHeight="1" x14ac:dyDescent="0.3">
      <c r="A237" s="6">
        <v>236</v>
      </c>
      <c r="B237" s="5" t="s">
        <v>53</v>
      </c>
      <c r="C237" s="5" t="str">
        <f>VLOOKUP(B237,Справочник!$A$2:$B$23,2,FALSE)</f>
        <v>Проектный офис</v>
      </c>
      <c r="D237" s="5" t="s">
        <v>55</v>
      </c>
      <c r="E237" s="7" t="str">
        <f>VLOOKUP(D237,Справочник!$D$2:$E$119,2,FALSE)</f>
        <v>Арипов Махсуд Махмудович</v>
      </c>
      <c r="F237" s="2" t="s">
        <v>429</v>
      </c>
      <c r="G237" s="7" t="str">
        <f>VLOOKUP(F237,Справочник!$K$2:$L$245,2,FALSE)</f>
        <v>Руководитель Центра Реализации Проектов</v>
      </c>
    </row>
    <row r="238" spans="1:7" ht="19.95" customHeight="1" x14ac:dyDescent="0.3">
      <c r="A238" s="5">
        <v>237</v>
      </c>
      <c r="B238" s="5" t="s">
        <v>53</v>
      </c>
      <c r="C238" s="5" t="str">
        <f>VLOOKUP(B238,Справочник!$A$2:$B$23,2,FALSE)</f>
        <v>Проектный офис</v>
      </c>
      <c r="D238" s="5" t="s">
        <v>55</v>
      </c>
      <c r="E238" s="5" t="str">
        <f>VLOOKUP(D238,Справочник!$D$2:$E$119,2,FALSE)</f>
        <v>Арипов Махсуд Махмудович</v>
      </c>
      <c r="F238" s="2" t="s">
        <v>430</v>
      </c>
      <c r="G238" s="5" t="str">
        <f>VLOOKUP(F238,Справочник!$K$2:$L$245,2,FALSE)</f>
        <v>Специалист документооборота</v>
      </c>
    </row>
    <row r="239" spans="1:7" ht="19.95" customHeight="1" x14ac:dyDescent="0.3">
      <c r="A239" s="6">
        <v>238</v>
      </c>
      <c r="B239" s="5" t="s">
        <v>53</v>
      </c>
      <c r="C239" s="5" t="str">
        <f>VLOOKUP(B239,Справочник!$A$2:$B$23,2,FALSE)</f>
        <v>Проектный офис</v>
      </c>
      <c r="D239" s="5" t="s">
        <v>55</v>
      </c>
      <c r="E239" s="7" t="str">
        <f>VLOOKUP(D239,Справочник!$D$2:$E$119,2,FALSE)</f>
        <v>Арипов Махсуд Махмудович</v>
      </c>
      <c r="F239" s="2" t="s">
        <v>431</v>
      </c>
      <c r="G239" s="7" t="str">
        <f>VLOOKUP(F239,Справочник!$K$2:$L$245,2,FALSE)</f>
        <v>Специалист по закупкам</v>
      </c>
    </row>
    <row r="240" spans="1:7" ht="19.95" customHeight="1" x14ac:dyDescent="0.3">
      <c r="A240" s="5">
        <v>239</v>
      </c>
      <c r="B240" s="5" t="s">
        <v>56</v>
      </c>
      <c r="C240" s="5" t="str">
        <f>VLOOKUP(B240,Справочник!$A$2:$B$23,2,FALSE)</f>
        <v>Производства комбикормов</v>
      </c>
      <c r="D240" s="5" t="s">
        <v>58</v>
      </c>
      <c r="E240" s="5" t="str">
        <f>VLOOKUP(D240,Справочник!$D$2:$E$119,2,FALSE)</f>
        <v>Чураев Равшан Абдухакимович</v>
      </c>
      <c r="F240" s="2" t="s">
        <v>268</v>
      </c>
      <c r="G240" s="5" t="str">
        <f>VLOOKUP(F240,Справочник!$K$2:$L$245,2,FALSE)</f>
        <v>Вспомогательный работник</v>
      </c>
    </row>
    <row r="241" spans="1:7" ht="19.95" customHeight="1" x14ac:dyDescent="0.3">
      <c r="A241" s="6">
        <v>240</v>
      </c>
      <c r="B241" s="5" t="s">
        <v>56</v>
      </c>
      <c r="C241" s="5" t="str">
        <f>VLOOKUP(B241,Справочник!$A$2:$B$23,2,FALSE)</f>
        <v>Производства комбикормов</v>
      </c>
      <c r="D241" s="5" t="s">
        <v>58</v>
      </c>
      <c r="E241" s="7" t="str">
        <f>VLOOKUP(D241,Справочник!$D$2:$E$119,2,FALSE)</f>
        <v>Чураев Равшан Абдухакимович</v>
      </c>
      <c r="F241" s="2" t="s">
        <v>318</v>
      </c>
      <c r="G241" s="7" t="str">
        <f>VLOOKUP(F241,Справочник!$K$2:$L$245,2,FALSE)</f>
        <v>Заведующий складом</v>
      </c>
    </row>
    <row r="242" spans="1:7" ht="19.95" customHeight="1" x14ac:dyDescent="0.3">
      <c r="A242" s="5">
        <v>241</v>
      </c>
      <c r="B242" s="5" t="s">
        <v>56</v>
      </c>
      <c r="C242" s="5" t="str">
        <f>VLOOKUP(B242,Справочник!$A$2:$B$23,2,FALSE)</f>
        <v>Производства комбикормов</v>
      </c>
      <c r="D242" s="5" t="s">
        <v>58</v>
      </c>
      <c r="E242" s="5" t="str">
        <f>VLOOKUP(D242,Справочник!$D$2:$E$119,2,FALSE)</f>
        <v>Чураев Равшан Абдухакимович</v>
      </c>
      <c r="F242" s="2" t="s">
        <v>403</v>
      </c>
      <c r="G242" s="5" t="str">
        <f>VLOOKUP(F242,Справочник!$K$2:$L$245,2,FALSE)</f>
        <v>Зоотехник</v>
      </c>
    </row>
    <row r="243" spans="1:7" ht="19.95" customHeight="1" x14ac:dyDescent="0.3">
      <c r="A243" s="6">
        <v>242</v>
      </c>
      <c r="B243" s="5" t="s">
        <v>56</v>
      </c>
      <c r="C243" s="5" t="str">
        <f>VLOOKUP(B243,Справочник!$A$2:$B$23,2,FALSE)</f>
        <v>Производства комбикормов</v>
      </c>
      <c r="D243" s="5" t="s">
        <v>58</v>
      </c>
      <c r="E243" s="7" t="str">
        <f>VLOOKUP(D243,Справочник!$D$2:$E$119,2,FALSE)</f>
        <v>Чураев Равшан Абдухакимович</v>
      </c>
      <c r="F243" s="2" t="s">
        <v>252</v>
      </c>
      <c r="G243" s="7" t="str">
        <f>VLOOKUP(F243,Справочник!$K$2:$L$245,2,FALSE)</f>
        <v>Лаборант</v>
      </c>
    </row>
    <row r="244" spans="1:7" ht="19.95" customHeight="1" x14ac:dyDescent="0.3">
      <c r="A244" s="5">
        <v>243</v>
      </c>
      <c r="B244" s="5" t="s">
        <v>56</v>
      </c>
      <c r="C244" s="5" t="str">
        <f>VLOOKUP(B244,Справочник!$A$2:$B$23,2,FALSE)</f>
        <v>Производства комбикормов</v>
      </c>
      <c r="D244" s="5" t="s">
        <v>58</v>
      </c>
      <c r="E244" s="5" t="str">
        <f>VLOOKUP(D244,Справочник!$D$2:$E$119,2,FALSE)</f>
        <v>Чураев Равшан Абдухакимович</v>
      </c>
      <c r="F244" s="2" t="s">
        <v>294</v>
      </c>
      <c r="G244" s="5" t="str">
        <f>VLOOKUP(F244,Справочник!$K$2:$L$245,2,FALSE)</f>
        <v>Механик</v>
      </c>
    </row>
    <row r="245" spans="1:7" ht="19.95" customHeight="1" x14ac:dyDescent="0.3">
      <c r="A245" s="6">
        <v>244</v>
      </c>
      <c r="B245" s="5" t="s">
        <v>56</v>
      </c>
      <c r="C245" s="5" t="str">
        <f>VLOOKUP(B245,Справочник!$A$2:$B$23,2,FALSE)</f>
        <v>Производства комбикормов</v>
      </c>
      <c r="D245" s="5" t="s">
        <v>58</v>
      </c>
      <c r="E245" s="7" t="str">
        <f>VLOOKUP(D245,Справочник!$D$2:$E$119,2,FALSE)</f>
        <v>Чураев Равшан Абдухакимович</v>
      </c>
      <c r="F245" s="2" t="s">
        <v>389</v>
      </c>
      <c r="G245" s="7" t="str">
        <f>VLOOKUP(F245,Справочник!$K$2:$L$245,2,FALSE)</f>
        <v>Начальник производства</v>
      </c>
    </row>
    <row r="246" spans="1:7" ht="19.95" customHeight="1" x14ac:dyDescent="0.3">
      <c r="A246" s="5">
        <v>245</v>
      </c>
      <c r="B246" s="5" t="s">
        <v>56</v>
      </c>
      <c r="C246" s="5" t="str">
        <f>VLOOKUP(B246,Справочник!$A$2:$B$23,2,FALSE)</f>
        <v>Производства комбикормов</v>
      </c>
      <c r="D246" s="5" t="s">
        <v>58</v>
      </c>
      <c r="E246" s="5" t="str">
        <f>VLOOKUP(D246,Справочник!$D$2:$E$119,2,FALSE)</f>
        <v>Чураев Равшан Абдухакимович</v>
      </c>
      <c r="F246" s="2" t="s">
        <v>432</v>
      </c>
      <c r="G246" s="5" t="str">
        <f>VLOOKUP(F246,Справочник!$K$2:$L$245,2,FALSE)</f>
        <v>Начальник смены</v>
      </c>
    </row>
    <row r="247" spans="1:7" ht="19.95" customHeight="1" x14ac:dyDescent="0.3">
      <c r="A247" s="6">
        <v>246</v>
      </c>
      <c r="B247" s="5" t="s">
        <v>56</v>
      </c>
      <c r="C247" s="5" t="str">
        <f>VLOOKUP(B247,Справочник!$A$2:$B$23,2,FALSE)</f>
        <v>Производства комбикормов</v>
      </c>
      <c r="D247" s="5" t="s">
        <v>58</v>
      </c>
      <c r="E247" s="7" t="str">
        <f>VLOOKUP(D247,Справочник!$D$2:$E$119,2,FALSE)</f>
        <v>Чураев Равшан Абдухакимович</v>
      </c>
      <c r="F247" s="2" t="s">
        <v>300</v>
      </c>
      <c r="G247" s="7" t="str">
        <f>VLOOKUP(F247,Справочник!$K$2:$L$245,2,FALSE)</f>
        <v>Оператор</v>
      </c>
    </row>
    <row r="248" spans="1:7" ht="19.95" customHeight="1" x14ac:dyDescent="0.3">
      <c r="A248" s="5">
        <v>247</v>
      </c>
      <c r="B248" s="5" t="s">
        <v>56</v>
      </c>
      <c r="C248" s="5" t="str">
        <f>VLOOKUP(B248,Справочник!$A$2:$B$23,2,FALSE)</f>
        <v>Производства комбикормов</v>
      </c>
      <c r="D248" s="5" t="s">
        <v>58</v>
      </c>
      <c r="E248" s="5" t="str">
        <f>VLOOKUP(D248,Справочник!$D$2:$E$119,2,FALSE)</f>
        <v>Чураев Равшан Абдухакимович</v>
      </c>
      <c r="F248" s="2" t="s">
        <v>303</v>
      </c>
      <c r="G248" s="5" t="str">
        <f>VLOOKUP(F248,Справочник!$K$2:$L$245,2,FALSE)</f>
        <v>Помощник оператора</v>
      </c>
    </row>
    <row r="249" spans="1:7" ht="19.95" customHeight="1" x14ac:dyDescent="0.3">
      <c r="A249" s="6">
        <v>248</v>
      </c>
      <c r="B249" s="5" t="s">
        <v>56</v>
      </c>
      <c r="C249" s="5" t="str">
        <f>VLOOKUP(B249,Справочник!$A$2:$B$23,2,FALSE)</f>
        <v>Производства комбикормов</v>
      </c>
      <c r="D249" s="5" t="s">
        <v>58</v>
      </c>
      <c r="E249" s="7" t="str">
        <f>VLOOKUP(D249,Справочник!$D$2:$E$119,2,FALSE)</f>
        <v>Чураев Равшан Абдухакимович</v>
      </c>
      <c r="F249" s="2" t="s">
        <v>433</v>
      </c>
      <c r="G249" s="7" t="str">
        <f>VLOOKUP(F249,Справочник!$K$2:$L$245,2,FALSE)</f>
        <v>Помощник технолога</v>
      </c>
    </row>
    <row r="250" spans="1:7" ht="19.95" customHeight="1" x14ac:dyDescent="0.3">
      <c r="A250" s="5">
        <v>249</v>
      </c>
      <c r="B250" s="5" t="s">
        <v>56</v>
      </c>
      <c r="C250" s="5" t="str">
        <f>VLOOKUP(B250,Справочник!$A$2:$B$23,2,FALSE)</f>
        <v>Производства комбикормов</v>
      </c>
      <c r="D250" s="5" t="s">
        <v>58</v>
      </c>
      <c r="E250" s="5" t="str">
        <f>VLOOKUP(D250,Справочник!$D$2:$E$119,2,FALSE)</f>
        <v>Чураев Равшан Абдухакимович</v>
      </c>
      <c r="F250" s="2" t="s">
        <v>434</v>
      </c>
      <c r="G250" s="5" t="str">
        <f>VLOOKUP(F250,Справочник!$K$2:$L$245,2,FALSE)</f>
        <v>Производственный бухгалтер</v>
      </c>
    </row>
    <row r="251" spans="1:7" ht="19.95" customHeight="1" x14ac:dyDescent="0.3">
      <c r="A251" s="6">
        <v>250</v>
      </c>
      <c r="B251" s="5" t="s">
        <v>56</v>
      </c>
      <c r="C251" s="5" t="str">
        <f>VLOOKUP(B251,Справочник!$A$2:$B$23,2,FALSE)</f>
        <v>Производства комбикормов</v>
      </c>
      <c r="D251" s="5" t="s">
        <v>58</v>
      </c>
      <c r="E251" s="7" t="str">
        <f>VLOOKUP(D251,Справочник!$D$2:$E$119,2,FALSE)</f>
        <v>Чураев Равшан Абдухакимович</v>
      </c>
      <c r="F251" s="2" t="s">
        <v>339</v>
      </c>
      <c r="G251" s="7" t="str">
        <f>VLOOKUP(F251,Справочник!$K$2:$L$245,2,FALSE)</f>
        <v>Руководитель департамента</v>
      </c>
    </row>
    <row r="252" spans="1:7" ht="19.95" customHeight="1" x14ac:dyDescent="0.3">
      <c r="A252" s="5">
        <v>251</v>
      </c>
      <c r="B252" s="5" t="s">
        <v>56</v>
      </c>
      <c r="C252" s="5" t="str">
        <f>VLOOKUP(B252,Справочник!$A$2:$B$23,2,FALSE)</f>
        <v>Производства комбикормов</v>
      </c>
      <c r="D252" s="5" t="s">
        <v>58</v>
      </c>
      <c r="E252" s="5" t="str">
        <f>VLOOKUP(D252,Справочник!$D$2:$E$119,2,FALSE)</f>
        <v>Чураев Равшан Абдухакимович</v>
      </c>
      <c r="F252" s="2" t="s">
        <v>259</v>
      </c>
      <c r="G252" s="5" t="str">
        <f>VLOOKUP(F252,Справочник!$K$2:$L$245,2,FALSE)</f>
        <v>Старший лаборант</v>
      </c>
    </row>
    <row r="253" spans="1:7" ht="19.95" customHeight="1" x14ac:dyDescent="0.3">
      <c r="A253" s="6">
        <v>252</v>
      </c>
      <c r="B253" s="5" t="s">
        <v>56</v>
      </c>
      <c r="C253" s="5" t="str">
        <f>VLOOKUP(B253,Справочник!$A$2:$B$23,2,FALSE)</f>
        <v>Производства комбикормов</v>
      </c>
      <c r="D253" s="5" t="s">
        <v>58</v>
      </c>
      <c r="E253" s="7" t="str">
        <f>VLOOKUP(D253,Справочник!$D$2:$E$119,2,FALSE)</f>
        <v>Чураев Равшан Абдухакимович</v>
      </c>
      <c r="F253" s="2" t="s">
        <v>310</v>
      </c>
      <c r="G253" s="7" t="str">
        <f>VLOOKUP(F253,Справочник!$K$2:$L$245,2,FALSE)</f>
        <v>Старший механик</v>
      </c>
    </row>
    <row r="254" spans="1:7" ht="19.95" customHeight="1" x14ac:dyDescent="0.3">
      <c r="A254" s="5">
        <v>253</v>
      </c>
      <c r="B254" s="5" t="s">
        <v>56</v>
      </c>
      <c r="C254" s="5" t="str">
        <f>VLOOKUP(B254,Справочник!$A$2:$B$23,2,FALSE)</f>
        <v>Производства комбикормов</v>
      </c>
      <c r="D254" s="5" t="s">
        <v>58</v>
      </c>
      <c r="E254" s="5" t="str">
        <f>VLOOKUP(D254,Справочник!$D$2:$E$119,2,FALSE)</f>
        <v>Чураев Равшан Абдухакимович</v>
      </c>
      <c r="F254" s="2" t="s">
        <v>378</v>
      </c>
      <c r="G254" s="5" t="str">
        <f>VLOOKUP(F254,Справочник!$K$2:$L$245,2,FALSE)</f>
        <v>Техничка</v>
      </c>
    </row>
    <row r="255" spans="1:7" ht="19.95" customHeight="1" x14ac:dyDescent="0.3">
      <c r="A255" s="6">
        <v>254</v>
      </c>
      <c r="B255" s="5" t="s">
        <v>56</v>
      </c>
      <c r="C255" s="5" t="str">
        <f>VLOOKUP(B255,Справочник!$A$2:$B$23,2,FALSE)</f>
        <v>Производства комбикормов</v>
      </c>
      <c r="D255" s="5" t="s">
        <v>58</v>
      </c>
      <c r="E255" s="7" t="str">
        <f>VLOOKUP(D255,Справочник!$D$2:$E$119,2,FALSE)</f>
        <v>Чураев Равшан Абдухакимович</v>
      </c>
      <c r="F255" s="2" t="s">
        <v>313</v>
      </c>
      <c r="G255" s="7" t="str">
        <f>VLOOKUP(F255,Справочник!$K$2:$L$245,2,FALSE)</f>
        <v>Технолог</v>
      </c>
    </row>
    <row r="256" spans="1:7" ht="19.95" customHeight="1" x14ac:dyDescent="0.3">
      <c r="A256" s="5">
        <v>255</v>
      </c>
      <c r="B256" s="5" t="s">
        <v>56</v>
      </c>
      <c r="C256" s="5" t="str">
        <f>VLOOKUP(B256,Справочник!$A$2:$B$23,2,FALSE)</f>
        <v>Производства комбикормов</v>
      </c>
      <c r="D256" s="5" t="s">
        <v>58</v>
      </c>
      <c r="E256" s="5" t="str">
        <f>VLOOKUP(D256,Справочник!$D$2:$E$119,2,FALSE)</f>
        <v>Чураев Равшан Абдухакимович</v>
      </c>
      <c r="F256" s="2" t="s">
        <v>379</v>
      </c>
      <c r="G256" s="5" t="str">
        <f>VLOOKUP(F256,Справочник!$K$2:$L$245,2,FALSE)</f>
        <v>Фасовщица</v>
      </c>
    </row>
    <row r="257" spans="1:7" ht="19.95" customHeight="1" x14ac:dyDescent="0.3">
      <c r="A257" s="6">
        <v>256</v>
      </c>
      <c r="B257" s="5" t="s">
        <v>56</v>
      </c>
      <c r="C257" s="5" t="str">
        <f>VLOOKUP(B257,Справочник!$A$2:$B$23,2,FALSE)</f>
        <v>Производства комбикормов</v>
      </c>
      <c r="D257" s="5" t="s">
        <v>58</v>
      </c>
      <c r="E257" s="7" t="str">
        <f>VLOOKUP(D257,Справочник!$D$2:$E$119,2,FALSE)</f>
        <v>Чураев Равшан Абдухакимович</v>
      </c>
      <c r="F257" s="2" t="s">
        <v>435</v>
      </c>
      <c r="G257" s="7" t="str">
        <f>VLOOKUP(F257,Справочник!$K$2:$L$245,2,FALSE)</f>
        <v>Фермер</v>
      </c>
    </row>
    <row r="258" spans="1:7" ht="19.95" customHeight="1" x14ac:dyDescent="0.3">
      <c r="A258" s="5">
        <v>257</v>
      </c>
      <c r="B258" s="5" t="s">
        <v>56</v>
      </c>
      <c r="C258" s="5" t="str">
        <f>VLOOKUP(B258,Справочник!$A$2:$B$23,2,FALSE)</f>
        <v>Производства комбикормов</v>
      </c>
      <c r="D258" s="5" t="s">
        <v>58</v>
      </c>
      <c r="E258" s="5" t="str">
        <f>VLOOKUP(D258,Справочник!$D$2:$E$119,2,FALSE)</f>
        <v>Чураев Равшан Абдухакимович</v>
      </c>
      <c r="F258" s="2" t="s">
        <v>436</v>
      </c>
      <c r="G258" s="5" t="str">
        <f>VLOOKUP(F258,Справочник!$K$2:$L$245,2,FALSE)</f>
        <v>Элеваторщик</v>
      </c>
    </row>
    <row r="259" spans="1:7" ht="34.049999999999997" customHeight="1" x14ac:dyDescent="0.3">
      <c r="A259" s="6">
        <v>258</v>
      </c>
      <c r="B259" s="5" t="s">
        <v>59</v>
      </c>
      <c r="C259" s="5" t="str">
        <f>VLOOKUP(B259,Справочник!$A$2:$B$23,2,FALSE)</f>
        <v>Производства Муки</v>
      </c>
      <c r="D259" s="5" t="s">
        <v>61</v>
      </c>
      <c r="E259" s="7" t="str">
        <f>VLOOKUP(D259,Справочник!$D$2:$E$119,2,FALSE)</f>
        <v>Искандаров Хайрулло Абдуллоевич</v>
      </c>
      <c r="F259" s="2" t="s">
        <v>437</v>
      </c>
      <c r="G259" s="7" t="str">
        <f>VLOOKUP(F259,Справочник!$K$2:$L$245,2,FALSE)</f>
        <v>Аппаратчик сушки и помола</v>
      </c>
    </row>
    <row r="260" spans="1:7" ht="34.049999999999997" customHeight="1" x14ac:dyDescent="0.3">
      <c r="A260" s="5">
        <v>259</v>
      </c>
      <c r="B260" s="5" t="s">
        <v>59</v>
      </c>
      <c r="C260" s="5" t="str">
        <f>VLOOKUP(B260,Справочник!$A$2:$B$23,2,FALSE)</f>
        <v>Производства Муки</v>
      </c>
      <c r="D260" s="5" t="s">
        <v>61</v>
      </c>
      <c r="E260" s="5" t="str">
        <f>VLOOKUP(D260,Справочник!$D$2:$E$119,2,FALSE)</f>
        <v>Искандаров Хайрулло Абдуллоевич</v>
      </c>
      <c r="F260" s="2" t="s">
        <v>381</v>
      </c>
      <c r="G260" s="5" t="str">
        <f>VLOOKUP(F260,Справочник!$K$2:$L$245,2,FALSE)</f>
        <v>Главный механик</v>
      </c>
    </row>
    <row r="261" spans="1:7" ht="34.049999999999997" customHeight="1" x14ac:dyDescent="0.3">
      <c r="A261" s="6">
        <v>260</v>
      </c>
      <c r="B261" s="5" t="s">
        <v>59</v>
      </c>
      <c r="C261" s="5" t="str">
        <f>VLOOKUP(B261,Справочник!$A$2:$B$23,2,FALSE)</f>
        <v>Производства Муки</v>
      </c>
      <c r="D261" s="5" t="s">
        <v>61</v>
      </c>
      <c r="E261" s="7" t="str">
        <f>VLOOKUP(D261,Справочник!$D$2:$E$119,2,FALSE)</f>
        <v>Искандаров Хайрулло Абдуллоевич</v>
      </c>
      <c r="F261" s="2" t="s">
        <v>271</v>
      </c>
      <c r="G261" s="7" t="str">
        <f>VLOOKUP(F261,Справочник!$K$2:$L$245,2,FALSE)</f>
        <v>Главный технолог</v>
      </c>
    </row>
    <row r="262" spans="1:7" ht="34.049999999999997" customHeight="1" x14ac:dyDescent="0.3">
      <c r="A262" s="5">
        <v>261</v>
      </c>
      <c r="B262" s="5" t="s">
        <v>59</v>
      </c>
      <c r="C262" s="5" t="str">
        <f>VLOOKUP(B262,Справочник!$A$2:$B$23,2,FALSE)</f>
        <v>Производства Муки</v>
      </c>
      <c r="D262" s="5" t="s">
        <v>61</v>
      </c>
      <c r="E262" s="5" t="str">
        <f>VLOOKUP(D262,Справочник!$D$2:$E$119,2,FALSE)</f>
        <v>Искандаров Хайрулло Абдуллоевич</v>
      </c>
      <c r="F262" s="2" t="s">
        <v>317</v>
      </c>
      <c r="G262" s="5" t="str">
        <f>VLOOKUP(F262,Справочник!$K$2:$L$245,2,FALSE)</f>
        <v>Грузчик</v>
      </c>
    </row>
    <row r="263" spans="1:7" ht="34.049999999999997" customHeight="1" x14ac:dyDescent="0.3">
      <c r="A263" s="6">
        <v>262</v>
      </c>
      <c r="B263" s="5" t="s">
        <v>59</v>
      </c>
      <c r="C263" s="5" t="str">
        <f>VLOOKUP(B263,Справочник!$A$2:$B$23,2,FALSE)</f>
        <v>Производства Муки</v>
      </c>
      <c r="D263" s="5" t="s">
        <v>61</v>
      </c>
      <c r="E263" s="7" t="str">
        <f>VLOOKUP(D263,Справочник!$D$2:$E$119,2,FALSE)</f>
        <v>Искандаров Хайрулло Абдуллоевич</v>
      </c>
      <c r="F263" s="2" t="s">
        <v>250</v>
      </c>
      <c r="G263" s="7" t="str">
        <f>VLOOKUP(F263,Справочник!$K$2:$L$245,2,FALSE)</f>
        <v>Заведующий лабораторией</v>
      </c>
    </row>
    <row r="264" spans="1:7" ht="34.049999999999997" customHeight="1" x14ac:dyDescent="0.3">
      <c r="A264" s="5">
        <v>263</v>
      </c>
      <c r="B264" s="5" t="s">
        <v>59</v>
      </c>
      <c r="C264" s="5" t="str">
        <f>VLOOKUP(B264,Справочник!$A$2:$B$23,2,FALSE)</f>
        <v>Производства Муки</v>
      </c>
      <c r="D264" s="5" t="s">
        <v>61</v>
      </c>
      <c r="E264" s="5" t="str">
        <f>VLOOKUP(D264,Справочник!$D$2:$E$119,2,FALSE)</f>
        <v>Искандаров Хайрулло Абдуллоевич</v>
      </c>
      <c r="F264" s="2" t="s">
        <v>438</v>
      </c>
      <c r="G264" s="5" t="str">
        <f>VLOOKUP(F264,Справочник!$K$2:$L$245,2,FALSE)</f>
        <v>Заместитель руководителя департамента</v>
      </c>
    </row>
    <row r="265" spans="1:7" ht="34.049999999999997" customHeight="1" x14ac:dyDescent="0.3">
      <c r="A265" s="6">
        <v>264</v>
      </c>
      <c r="B265" s="5" t="s">
        <v>59</v>
      </c>
      <c r="C265" s="5" t="str">
        <f>VLOOKUP(B265,Справочник!$A$2:$B$23,2,FALSE)</f>
        <v>Производства Муки</v>
      </c>
      <c r="D265" s="5" t="s">
        <v>61</v>
      </c>
      <c r="E265" s="7" t="str">
        <f>VLOOKUP(D265,Справочник!$D$2:$E$119,2,FALSE)</f>
        <v>Искандаров Хайрулло Абдуллоевич</v>
      </c>
      <c r="F265" s="2" t="s">
        <v>252</v>
      </c>
      <c r="G265" s="7" t="str">
        <f>VLOOKUP(F265,Справочник!$K$2:$L$245,2,FALSE)</f>
        <v>Лаборант</v>
      </c>
    </row>
    <row r="266" spans="1:7" ht="34.049999999999997" customHeight="1" x14ac:dyDescent="0.3">
      <c r="A266" s="5">
        <v>265</v>
      </c>
      <c r="B266" s="5" t="s">
        <v>59</v>
      </c>
      <c r="C266" s="5" t="str">
        <f>VLOOKUP(B266,Справочник!$A$2:$B$23,2,FALSE)</f>
        <v>Производства Муки</v>
      </c>
      <c r="D266" s="5" t="s">
        <v>61</v>
      </c>
      <c r="E266" s="5" t="str">
        <f>VLOOKUP(D266,Справочник!$D$2:$E$119,2,FALSE)</f>
        <v>Искандаров Хайрулло Абдуллоевич</v>
      </c>
      <c r="F266" s="2" t="s">
        <v>294</v>
      </c>
      <c r="G266" s="5" t="str">
        <f>VLOOKUP(F266,Справочник!$K$2:$L$245,2,FALSE)</f>
        <v>Механик</v>
      </c>
    </row>
    <row r="267" spans="1:7" ht="34.049999999999997" customHeight="1" x14ac:dyDescent="0.3">
      <c r="A267" s="6">
        <v>266</v>
      </c>
      <c r="B267" s="5" t="s">
        <v>59</v>
      </c>
      <c r="C267" s="5" t="str">
        <f>VLOOKUP(B267,Справочник!$A$2:$B$23,2,FALSE)</f>
        <v>Производства Муки</v>
      </c>
      <c r="D267" s="5" t="s">
        <v>61</v>
      </c>
      <c r="E267" s="7" t="str">
        <f>VLOOKUP(D267,Справочник!$D$2:$E$119,2,FALSE)</f>
        <v>Искандаров Хайрулло Абдуллоевич</v>
      </c>
      <c r="F267" s="2" t="s">
        <v>389</v>
      </c>
      <c r="G267" s="7" t="str">
        <f>VLOOKUP(F267,Справочник!$K$2:$L$245,2,FALSE)</f>
        <v>Начальник производства</v>
      </c>
    </row>
    <row r="268" spans="1:7" ht="34.049999999999997" customHeight="1" x14ac:dyDescent="0.3">
      <c r="A268" s="5">
        <v>267</v>
      </c>
      <c r="B268" s="5" t="s">
        <v>59</v>
      </c>
      <c r="C268" s="5" t="str">
        <f>VLOOKUP(B268,Справочник!$A$2:$B$23,2,FALSE)</f>
        <v>Производства Муки</v>
      </c>
      <c r="D268" s="5" t="s">
        <v>61</v>
      </c>
      <c r="E268" s="5" t="str">
        <f>VLOOKUP(D268,Справочник!$D$2:$E$119,2,FALSE)</f>
        <v>Искандаров Хайрулло Абдуллоевич</v>
      </c>
      <c r="F268" s="2" t="s">
        <v>432</v>
      </c>
      <c r="G268" s="5" t="str">
        <f>VLOOKUP(F268,Справочник!$K$2:$L$245,2,FALSE)</f>
        <v>Начальник смены</v>
      </c>
    </row>
    <row r="269" spans="1:7" ht="34.049999999999997" customHeight="1" x14ac:dyDescent="0.3">
      <c r="A269" s="6">
        <v>268</v>
      </c>
      <c r="B269" s="5" t="s">
        <v>59</v>
      </c>
      <c r="C269" s="5" t="str">
        <f>VLOOKUP(B269,Справочник!$A$2:$B$23,2,FALSE)</f>
        <v>Производства Муки</v>
      </c>
      <c r="D269" s="5" t="s">
        <v>61</v>
      </c>
      <c r="E269" s="7" t="str">
        <f>VLOOKUP(D269,Справочник!$D$2:$E$119,2,FALSE)</f>
        <v>Искандаров Хайрулло Абдуллоевич</v>
      </c>
      <c r="F269" s="2" t="s">
        <v>300</v>
      </c>
      <c r="G269" s="7" t="str">
        <f>VLOOKUP(F269,Справочник!$K$2:$L$245,2,FALSE)</f>
        <v>Оператор</v>
      </c>
    </row>
    <row r="270" spans="1:7" ht="34.049999999999997" customHeight="1" x14ac:dyDescent="0.3">
      <c r="A270" s="5">
        <v>269</v>
      </c>
      <c r="B270" s="5" t="s">
        <v>59</v>
      </c>
      <c r="C270" s="5" t="str">
        <f>VLOOKUP(B270,Справочник!$A$2:$B$23,2,FALSE)</f>
        <v>Производства Муки</v>
      </c>
      <c r="D270" s="5" t="s">
        <v>61</v>
      </c>
      <c r="E270" s="5" t="str">
        <f>VLOOKUP(D270,Справочник!$D$2:$E$119,2,FALSE)</f>
        <v>Искандаров Хайрулло Абдуллоевич</v>
      </c>
      <c r="F270" s="2" t="s">
        <v>439</v>
      </c>
      <c r="G270" s="5" t="str">
        <f>VLOOKUP(F270,Справочник!$K$2:$L$245,2,FALSE)</f>
        <v>Оператор (отруби)</v>
      </c>
    </row>
    <row r="271" spans="1:7" ht="34.049999999999997" customHeight="1" x14ac:dyDescent="0.3">
      <c r="A271" s="6">
        <v>270</v>
      </c>
      <c r="B271" s="5" t="s">
        <v>59</v>
      </c>
      <c r="C271" s="5" t="str">
        <f>VLOOKUP(B271,Справочник!$A$2:$B$23,2,FALSE)</f>
        <v>Производства Муки</v>
      </c>
      <c r="D271" s="5" t="s">
        <v>61</v>
      </c>
      <c r="E271" s="7" t="str">
        <f>VLOOKUP(D271,Справочник!$D$2:$E$119,2,FALSE)</f>
        <v>Искандаров Хайрулло Абдуллоевич</v>
      </c>
      <c r="F271" s="2" t="s">
        <v>440</v>
      </c>
      <c r="G271" s="7" t="str">
        <f>VLOOKUP(F271,Справочник!$K$2:$L$245,2,FALSE)</f>
        <v>Оператор (производства)</v>
      </c>
    </row>
    <row r="272" spans="1:7" ht="34.049999999999997" customHeight="1" x14ac:dyDescent="0.3">
      <c r="A272" s="5">
        <v>271</v>
      </c>
      <c r="B272" s="5" t="s">
        <v>59</v>
      </c>
      <c r="C272" s="5" t="str">
        <f>VLOOKUP(B272,Справочник!$A$2:$B$23,2,FALSE)</f>
        <v>Производства Муки</v>
      </c>
      <c r="D272" s="5" t="s">
        <v>61</v>
      </c>
      <c r="E272" s="5" t="str">
        <f>VLOOKUP(D272,Справочник!$D$2:$E$119,2,FALSE)</f>
        <v>Искандаров Хайрулло Абдуллоевич</v>
      </c>
      <c r="F272" s="2" t="s">
        <v>441</v>
      </c>
      <c r="G272" s="5" t="str">
        <f>VLOOKUP(F272,Справочник!$K$2:$L$245,2,FALSE)</f>
        <v>Оператор (фасовка муки)</v>
      </c>
    </row>
    <row r="273" spans="1:7" ht="34.049999999999997" customHeight="1" x14ac:dyDescent="0.3">
      <c r="A273" s="6">
        <v>272</v>
      </c>
      <c r="B273" s="5" t="s">
        <v>59</v>
      </c>
      <c r="C273" s="5" t="str">
        <f>VLOOKUP(B273,Справочник!$A$2:$B$23,2,FALSE)</f>
        <v>Производства Муки</v>
      </c>
      <c r="D273" s="5" t="s">
        <v>61</v>
      </c>
      <c r="E273" s="7" t="str">
        <f>VLOOKUP(D273,Справочник!$D$2:$E$119,2,FALSE)</f>
        <v>Искандаров Хайрулло Абдуллоевич</v>
      </c>
      <c r="F273" s="2" t="s">
        <v>256</v>
      </c>
      <c r="G273" s="7" t="str">
        <f>VLOOKUP(F273,Справочник!$K$2:$L$245,2,FALSE)</f>
        <v>Пекарь</v>
      </c>
    </row>
    <row r="274" spans="1:7" ht="34.049999999999997" customHeight="1" x14ac:dyDescent="0.3">
      <c r="A274" s="5">
        <v>273</v>
      </c>
      <c r="B274" s="5" t="s">
        <v>59</v>
      </c>
      <c r="C274" s="5" t="str">
        <f>VLOOKUP(B274,Справочник!$A$2:$B$23,2,FALSE)</f>
        <v>Производства Муки</v>
      </c>
      <c r="D274" s="5" t="s">
        <v>61</v>
      </c>
      <c r="E274" s="5" t="str">
        <f>VLOOKUP(D274,Справочник!$D$2:$E$119,2,FALSE)</f>
        <v>Искандаров Хайрулло Абдуллоевич</v>
      </c>
      <c r="F274" s="2" t="s">
        <v>303</v>
      </c>
      <c r="G274" s="5" t="str">
        <f>VLOOKUP(F274,Справочник!$K$2:$L$245,2,FALSE)</f>
        <v>Помощник оператора</v>
      </c>
    </row>
    <row r="275" spans="1:7" ht="34.049999999999997" customHeight="1" x14ac:dyDescent="0.3">
      <c r="A275" s="6">
        <v>274</v>
      </c>
      <c r="B275" s="5" t="s">
        <v>59</v>
      </c>
      <c r="C275" s="5" t="str">
        <f>VLOOKUP(B275,Справочник!$A$2:$B$23,2,FALSE)</f>
        <v>Производства Муки</v>
      </c>
      <c r="D275" s="5" t="s">
        <v>61</v>
      </c>
      <c r="E275" s="7" t="str">
        <f>VLOOKUP(D275,Справочник!$D$2:$E$119,2,FALSE)</f>
        <v>Искандаров Хайрулло Абдуллоевич</v>
      </c>
      <c r="F275" s="2" t="s">
        <v>339</v>
      </c>
      <c r="G275" s="7" t="str">
        <f>VLOOKUP(F275,Справочник!$K$2:$L$245,2,FALSE)</f>
        <v>Руководитель департамента</v>
      </c>
    </row>
    <row r="276" spans="1:7" ht="34.049999999999997" customHeight="1" x14ac:dyDescent="0.3">
      <c r="A276" s="5">
        <v>275</v>
      </c>
      <c r="B276" s="5" t="s">
        <v>59</v>
      </c>
      <c r="C276" s="5" t="str">
        <f>VLOOKUP(B276,Справочник!$A$2:$B$23,2,FALSE)</f>
        <v>Производства Муки</v>
      </c>
      <c r="D276" s="5" t="s">
        <v>61</v>
      </c>
      <c r="E276" s="5" t="str">
        <f>VLOOKUP(D276,Справочник!$D$2:$E$119,2,FALSE)</f>
        <v>Искандаров Хайрулло Абдуллоевич</v>
      </c>
      <c r="F276" s="2" t="s">
        <v>259</v>
      </c>
      <c r="G276" s="5" t="str">
        <f>VLOOKUP(F276,Справочник!$K$2:$L$245,2,FALSE)</f>
        <v>Старший лаборант</v>
      </c>
    </row>
    <row r="277" spans="1:7" ht="34.049999999999997" customHeight="1" x14ac:dyDescent="0.3">
      <c r="A277" s="6">
        <v>276</v>
      </c>
      <c r="B277" s="5" t="s">
        <v>59</v>
      </c>
      <c r="C277" s="5" t="str">
        <f>VLOOKUP(B277,Справочник!$A$2:$B$23,2,FALSE)</f>
        <v>Производства Муки</v>
      </c>
      <c r="D277" s="5" t="s">
        <v>61</v>
      </c>
      <c r="E277" s="7" t="str">
        <f>VLOOKUP(D277,Справочник!$D$2:$E$119,2,FALSE)</f>
        <v>Искандаров Хайрулло Абдуллоевич</v>
      </c>
      <c r="F277" s="2" t="s">
        <v>377</v>
      </c>
      <c r="G277" s="7" t="str">
        <f>VLOOKUP(F277,Справочник!$K$2:$L$245,2,FALSE)</f>
        <v>Старший оператор</v>
      </c>
    </row>
    <row r="278" spans="1:7" ht="34.049999999999997" customHeight="1" x14ac:dyDescent="0.3">
      <c r="A278" s="5">
        <v>277</v>
      </c>
      <c r="B278" s="5" t="s">
        <v>59</v>
      </c>
      <c r="C278" s="5" t="str">
        <f>VLOOKUP(B278,Справочник!$A$2:$B$23,2,FALSE)</f>
        <v>Производства Муки</v>
      </c>
      <c r="D278" s="5" t="s">
        <v>61</v>
      </c>
      <c r="E278" s="5" t="str">
        <f>VLOOKUP(D278,Справочник!$D$2:$E$119,2,FALSE)</f>
        <v>Искандаров Хайрулло Абдуллоевич</v>
      </c>
      <c r="F278" s="2" t="s">
        <v>378</v>
      </c>
      <c r="G278" s="5" t="str">
        <f>VLOOKUP(F278,Справочник!$K$2:$L$245,2,FALSE)</f>
        <v>Техничка</v>
      </c>
    </row>
    <row r="279" spans="1:7" ht="34.049999999999997" customHeight="1" x14ac:dyDescent="0.3">
      <c r="A279" s="6">
        <v>278</v>
      </c>
      <c r="B279" s="5" t="s">
        <v>59</v>
      </c>
      <c r="C279" s="5" t="str">
        <f>VLOOKUP(B279,Справочник!$A$2:$B$23,2,FALSE)</f>
        <v>Производства Муки</v>
      </c>
      <c r="D279" s="5" t="s">
        <v>61</v>
      </c>
      <c r="E279" s="7" t="str">
        <f>VLOOKUP(D279,Справочник!$D$2:$E$119,2,FALSE)</f>
        <v>Искандаров Хайрулло Абдуллоевич</v>
      </c>
      <c r="F279" s="2" t="s">
        <v>313</v>
      </c>
      <c r="G279" s="7" t="str">
        <f>VLOOKUP(F279,Справочник!$K$2:$L$245,2,FALSE)</f>
        <v>Технолог</v>
      </c>
    </row>
    <row r="280" spans="1:7" ht="34.049999999999997" customHeight="1" x14ac:dyDescent="0.3">
      <c r="A280" s="5">
        <v>279</v>
      </c>
      <c r="B280" s="5" t="s">
        <v>59</v>
      </c>
      <c r="C280" s="5" t="str">
        <f>VLOOKUP(B280,Справочник!$A$2:$B$23,2,FALSE)</f>
        <v>Производства Муки</v>
      </c>
      <c r="D280" s="5" t="s">
        <v>61</v>
      </c>
      <c r="E280" s="5" t="str">
        <f>VLOOKUP(D280,Справочник!$D$2:$E$119,2,FALSE)</f>
        <v>Искандаров Хайрулло Абдуллоевич</v>
      </c>
      <c r="F280" s="2" t="s">
        <v>379</v>
      </c>
      <c r="G280" s="5" t="str">
        <f>VLOOKUP(F280,Справочник!$K$2:$L$245,2,FALSE)</f>
        <v>Фасовщица</v>
      </c>
    </row>
    <row r="281" spans="1:7" ht="19.95" customHeight="1" x14ac:dyDescent="0.3">
      <c r="A281" s="6">
        <v>280</v>
      </c>
      <c r="B281" s="5" t="s">
        <v>62</v>
      </c>
      <c r="C281" s="5" t="str">
        <f>VLOOKUP(B281,Справочник!$A$2:$B$23,2,FALSE)</f>
        <v>Производство ЖБИ</v>
      </c>
      <c r="D281" s="5" t="s">
        <v>64</v>
      </c>
      <c r="E281" s="7" t="str">
        <f>VLOOKUP(D281,Справочник!$D$2:$E$119,2,FALSE)</f>
        <v>Шарифов Саидхоча Мамадович</v>
      </c>
      <c r="F281" s="2" t="s">
        <v>442</v>
      </c>
      <c r="G281" s="7" t="str">
        <f>VLOOKUP(F281,Справочник!$K$2:$L$245,2,FALSE)</f>
        <v>Бригадир</v>
      </c>
    </row>
    <row r="282" spans="1:7" ht="19.95" customHeight="1" x14ac:dyDescent="0.3">
      <c r="A282" s="5">
        <v>281</v>
      </c>
      <c r="B282" s="5" t="s">
        <v>62</v>
      </c>
      <c r="C282" s="5" t="str">
        <f>VLOOKUP(B282,Справочник!$A$2:$B$23,2,FALSE)</f>
        <v>Производство ЖБИ</v>
      </c>
      <c r="D282" s="5" t="s">
        <v>64</v>
      </c>
      <c r="E282" s="5" t="str">
        <f>VLOOKUP(D282,Справочник!$D$2:$E$119,2,FALSE)</f>
        <v>Шарифов Саидхоча Мамадович</v>
      </c>
      <c r="F282" s="2" t="s">
        <v>268</v>
      </c>
      <c r="G282" s="5" t="str">
        <f>VLOOKUP(F282,Справочник!$K$2:$L$245,2,FALSE)</f>
        <v>Вспомогательный работник</v>
      </c>
    </row>
    <row r="283" spans="1:7" ht="19.95" customHeight="1" x14ac:dyDescent="0.3">
      <c r="A283" s="6">
        <v>282</v>
      </c>
      <c r="B283" s="5" t="s">
        <v>62</v>
      </c>
      <c r="C283" s="5" t="str">
        <f>VLOOKUP(B283,Справочник!$A$2:$B$23,2,FALSE)</f>
        <v>Производство ЖБИ</v>
      </c>
      <c r="D283" s="5" t="s">
        <v>64</v>
      </c>
      <c r="E283" s="7" t="str">
        <f>VLOOKUP(D283,Справочник!$D$2:$E$119,2,FALSE)</f>
        <v>Шарифов Саидхоча Мамадович</v>
      </c>
      <c r="F283" s="2" t="s">
        <v>443</v>
      </c>
      <c r="G283" s="7" t="str">
        <f>VLOOKUP(F283,Справочник!$K$2:$L$245,2,FALSE)</f>
        <v>Гл.механик</v>
      </c>
    </row>
    <row r="284" spans="1:7" ht="19.95" customHeight="1" x14ac:dyDescent="0.3">
      <c r="A284" s="5">
        <v>283</v>
      </c>
      <c r="B284" s="5" t="s">
        <v>62</v>
      </c>
      <c r="C284" s="5" t="str">
        <f>VLOOKUP(B284,Справочник!$A$2:$B$23,2,FALSE)</f>
        <v>Производство ЖБИ</v>
      </c>
      <c r="D284" s="5" t="s">
        <v>64</v>
      </c>
      <c r="E284" s="5" t="str">
        <f>VLOOKUP(D284,Справочник!$D$2:$E$119,2,FALSE)</f>
        <v>Шарифов Саидхоча Мамадович</v>
      </c>
      <c r="F284" s="2" t="s">
        <v>271</v>
      </c>
      <c r="G284" s="5" t="str">
        <f>VLOOKUP(F284,Справочник!$K$2:$L$245,2,FALSE)</f>
        <v>Главный технолог</v>
      </c>
    </row>
    <row r="285" spans="1:7" ht="19.95" customHeight="1" x14ac:dyDescent="0.3">
      <c r="A285" s="6">
        <v>284</v>
      </c>
      <c r="B285" s="5" t="s">
        <v>62</v>
      </c>
      <c r="C285" s="5" t="str">
        <f>VLOOKUP(B285,Справочник!$A$2:$B$23,2,FALSE)</f>
        <v>Производство ЖБИ</v>
      </c>
      <c r="D285" s="5" t="s">
        <v>64</v>
      </c>
      <c r="E285" s="7" t="str">
        <f>VLOOKUP(D285,Справочник!$D$2:$E$119,2,FALSE)</f>
        <v>Шарифов Саидхоча Мамадович</v>
      </c>
      <c r="F285" s="2" t="s">
        <v>318</v>
      </c>
      <c r="G285" s="7" t="str">
        <f>VLOOKUP(F285,Справочник!$K$2:$L$245,2,FALSE)</f>
        <v>Заведующий складом</v>
      </c>
    </row>
    <row r="286" spans="1:7" ht="19.95" customHeight="1" x14ac:dyDescent="0.3">
      <c r="A286" s="5">
        <v>285</v>
      </c>
      <c r="B286" s="5" t="s">
        <v>62</v>
      </c>
      <c r="C286" s="5" t="str">
        <f>VLOOKUP(B286,Справочник!$A$2:$B$23,2,FALSE)</f>
        <v>Производство ЖБИ</v>
      </c>
      <c r="D286" s="5" t="s">
        <v>64</v>
      </c>
      <c r="E286" s="5" t="str">
        <f>VLOOKUP(D286,Справочник!$D$2:$E$119,2,FALSE)</f>
        <v>Шарифов Саидхоча Мамадович</v>
      </c>
      <c r="F286" s="2" t="s">
        <v>272</v>
      </c>
      <c r="G286" s="5" t="str">
        <f>VLOOKUP(F286,Справочник!$K$2:$L$245,2,FALSE)</f>
        <v>Заведующий хозяйством</v>
      </c>
    </row>
    <row r="287" spans="1:7" ht="19.95" customHeight="1" x14ac:dyDescent="0.3">
      <c r="A287" s="6">
        <v>286</v>
      </c>
      <c r="B287" s="5" t="s">
        <v>62</v>
      </c>
      <c r="C287" s="5" t="str">
        <f>VLOOKUP(B287,Справочник!$A$2:$B$23,2,FALSE)</f>
        <v>Производство ЖБИ</v>
      </c>
      <c r="D287" s="5" t="s">
        <v>64</v>
      </c>
      <c r="E287" s="7" t="str">
        <f>VLOOKUP(D287,Справочник!$D$2:$E$119,2,FALSE)</f>
        <v>Шарифов Саидхоча Мамадович</v>
      </c>
      <c r="F287" s="2" t="s">
        <v>444</v>
      </c>
      <c r="G287" s="7" t="str">
        <f>VLOOKUP(F287,Справочник!$K$2:$L$245,2,FALSE)</f>
        <v>Коммерческий директор</v>
      </c>
    </row>
    <row r="288" spans="1:7" ht="19.95" customHeight="1" x14ac:dyDescent="0.3">
      <c r="A288" s="5">
        <v>287</v>
      </c>
      <c r="B288" s="5" t="s">
        <v>62</v>
      </c>
      <c r="C288" s="5" t="str">
        <f>VLOOKUP(B288,Справочник!$A$2:$B$23,2,FALSE)</f>
        <v>Производство ЖБИ</v>
      </c>
      <c r="D288" s="5" t="s">
        <v>64</v>
      </c>
      <c r="E288" s="5" t="str">
        <f>VLOOKUP(D288,Справочник!$D$2:$E$119,2,FALSE)</f>
        <v>Шарифов Саидхоча Мамадович</v>
      </c>
      <c r="F288" s="2" t="s">
        <v>445</v>
      </c>
      <c r="G288" s="5" t="str">
        <f>VLOOKUP(F288,Справочник!$K$2:$L$245,2,FALSE)</f>
        <v>Крановщик</v>
      </c>
    </row>
    <row r="289" spans="1:7" ht="19.95" customHeight="1" x14ac:dyDescent="0.3">
      <c r="A289" s="6">
        <v>288</v>
      </c>
      <c r="B289" s="5" t="s">
        <v>62</v>
      </c>
      <c r="C289" s="5" t="str">
        <f>VLOOKUP(B289,Справочник!$A$2:$B$23,2,FALSE)</f>
        <v>Производство ЖБИ</v>
      </c>
      <c r="D289" s="5" t="s">
        <v>64</v>
      </c>
      <c r="E289" s="7" t="str">
        <f>VLOOKUP(D289,Справочник!$D$2:$E$119,2,FALSE)</f>
        <v>Шарифов Саидхоча Мамадович</v>
      </c>
      <c r="F289" s="2" t="s">
        <v>389</v>
      </c>
      <c r="G289" s="7" t="str">
        <f>VLOOKUP(F289,Справочник!$K$2:$L$245,2,FALSE)</f>
        <v>Начальник производства</v>
      </c>
    </row>
    <row r="290" spans="1:7" ht="19.95" customHeight="1" x14ac:dyDescent="0.3">
      <c r="A290" s="5">
        <v>289</v>
      </c>
      <c r="B290" s="5" t="s">
        <v>62</v>
      </c>
      <c r="C290" s="5" t="str">
        <f>VLOOKUP(B290,Справочник!$A$2:$B$23,2,FALSE)</f>
        <v>Производство ЖБИ</v>
      </c>
      <c r="D290" s="5" t="s">
        <v>64</v>
      </c>
      <c r="E290" s="5" t="str">
        <f>VLOOKUP(D290,Справочник!$D$2:$E$119,2,FALSE)</f>
        <v>Шарифов Саидхоча Мамадович</v>
      </c>
      <c r="F290" s="2" t="s">
        <v>300</v>
      </c>
      <c r="G290" s="5" t="str">
        <f>VLOOKUP(F290,Справочник!$K$2:$L$245,2,FALSE)</f>
        <v>Оператор</v>
      </c>
    </row>
    <row r="291" spans="1:7" ht="19.95" customHeight="1" x14ac:dyDescent="0.3">
      <c r="A291" s="6">
        <v>290</v>
      </c>
      <c r="B291" s="5" t="s">
        <v>62</v>
      </c>
      <c r="C291" s="5" t="str">
        <f>VLOOKUP(B291,Справочник!$A$2:$B$23,2,FALSE)</f>
        <v>Производство ЖБИ</v>
      </c>
      <c r="D291" s="5" t="s">
        <v>64</v>
      </c>
      <c r="E291" s="7" t="str">
        <f>VLOOKUP(D291,Справочник!$D$2:$E$119,2,FALSE)</f>
        <v>Шарифов Саидхоча Мамадович</v>
      </c>
      <c r="F291" s="2" t="s">
        <v>376</v>
      </c>
      <c r="G291" s="7" t="str">
        <f>VLOOKUP(F291,Справочник!$K$2:$L$245,2,FALSE)</f>
        <v>Оператор кательной</v>
      </c>
    </row>
    <row r="292" spans="1:7" ht="19.95" customHeight="1" x14ac:dyDescent="0.3">
      <c r="A292" s="5">
        <v>291</v>
      </c>
      <c r="B292" s="5" t="s">
        <v>62</v>
      </c>
      <c r="C292" s="5" t="str">
        <f>VLOOKUP(B292,Справочник!$A$2:$B$23,2,FALSE)</f>
        <v>Производство ЖБИ</v>
      </c>
      <c r="D292" s="5" t="s">
        <v>64</v>
      </c>
      <c r="E292" s="5" t="str">
        <f>VLOOKUP(D292,Справочник!$D$2:$E$119,2,FALSE)</f>
        <v>Шарифов Саидхоча Мамадович</v>
      </c>
      <c r="F292" s="2" t="s">
        <v>257</v>
      </c>
      <c r="G292" s="5" t="str">
        <f>VLOOKUP(F292,Справочник!$K$2:$L$245,2,FALSE)</f>
        <v>Руководитель</v>
      </c>
    </row>
    <row r="293" spans="1:7" ht="19.95" customHeight="1" x14ac:dyDescent="0.3">
      <c r="A293" s="6">
        <v>292</v>
      </c>
      <c r="B293" s="5" t="s">
        <v>62</v>
      </c>
      <c r="C293" s="5" t="str">
        <f>VLOOKUP(B293,Справочник!$A$2:$B$23,2,FALSE)</f>
        <v>Производство ЖБИ</v>
      </c>
      <c r="D293" s="5" t="s">
        <v>64</v>
      </c>
      <c r="E293" s="7" t="str">
        <f>VLOOKUP(D293,Справочник!$D$2:$E$119,2,FALSE)</f>
        <v>Шарифов Саидхоча Мамадович</v>
      </c>
      <c r="F293" s="2" t="s">
        <v>446</v>
      </c>
      <c r="G293" s="7" t="str">
        <f>VLOOKUP(F293,Справочник!$K$2:$L$245,2,FALSE)</f>
        <v>Снабженец</v>
      </c>
    </row>
    <row r="294" spans="1:7" ht="19.95" customHeight="1" x14ac:dyDescent="0.3">
      <c r="A294" s="5">
        <v>293</v>
      </c>
      <c r="B294" s="5" t="s">
        <v>62</v>
      </c>
      <c r="C294" s="5" t="str">
        <f>VLOOKUP(B294,Справочник!$A$2:$B$23,2,FALSE)</f>
        <v>Производство ЖБИ</v>
      </c>
      <c r="D294" s="5" t="s">
        <v>64</v>
      </c>
      <c r="E294" s="5" t="str">
        <f>VLOOKUP(D294,Справочник!$D$2:$E$119,2,FALSE)</f>
        <v>Шарифов Саидхоча Мамадович</v>
      </c>
      <c r="F294" s="2" t="s">
        <v>447</v>
      </c>
      <c r="G294" s="5" t="str">
        <f>VLOOKUP(F294,Справочник!$K$2:$L$245,2,FALSE)</f>
        <v>Стропольщик</v>
      </c>
    </row>
    <row r="295" spans="1:7" ht="19.95" customHeight="1" x14ac:dyDescent="0.3">
      <c r="A295" s="6">
        <v>294</v>
      </c>
      <c r="B295" s="5" t="s">
        <v>62</v>
      </c>
      <c r="C295" s="5" t="str">
        <f>VLOOKUP(B295,Справочник!$A$2:$B$23,2,FALSE)</f>
        <v>Производство ЖБИ</v>
      </c>
      <c r="D295" s="5" t="s">
        <v>64</v>
      </c>
      <c r="E295" s="7" t="str">
        <f>VLOOKUP(D295,Справочник!$D$2:$E$119,2,FALSE)</f>
        <v>Шарифов Саидхоча Мамадович</v>
      </c>
      <c r="F295" s="2" t="s">
        <v>313</v>
      </c>
      <c r="G295" s="7" t="str">
        <f>VLOOKUP(F295,Справочник!$K$2:$L$245,2,FALSE)</f>
        <v>Технолог</v>
      </c>
    </row>
    <row r="296" spans="1:7" ht="19.95" customHeight="1" x14ac:dyDescent="0.3">
      <c r="A296" s="5">
        <v>295</v>
      </c>
      <c r="B296" s="5" t="s">
        <v>62</v>
      </c>
      <c r="C296" s="5" t="str">
        <f>VLOOKUP(B296,Справочник!$A$2:$B$23,2,FALSE)</f>
        <v>Производство ЖБИ</v>
      </c>
      <c r="D296" s="5" t="s">
        <v>64</v>
      </c>
      <c r="E296" s="5" t="str">
        <f>VLOOKUP(D296,Справочник!$D$2:$E$119,2,FALSE)</f>
        <v>Шарифов Саидхоча Мамадович</v>
      </c>
      <c r="F296" s="2" t="s">
        <v>448</v>
      </c>
      <c r="G296" s="5" t="str">
        <f>VLOOKUP(F296,Справочник!$K$2:$L$245,2,FALSE)</f>
        <v>Электрик</v>
      </c>
    </row>
    <row r="297" spans="1:7" ht="19.95" customHeight="1" x14ac:dyDescent="0.3">
      <c r="A297" s="6">
        <v>296</v>
      </c>
      <c r="B297" s="5" t="s">
        <v>62</v>
      </c>
      <c r="C297" s="5" t="str">
        <f>VLOOKUP(B297,Справочник!$A$2:$B$23,2,FALSE)</f>
        <v>Производство ЖБИ</v>
      </c>
      <c r="D297" s="5" t="s">
        <v>64</v>
      </c>
      <c r="E297" s="7" t="str">
        <f>VLOOKUP(D297,Справочник!$D$2:$E$119,2,FALSE)</f>
        <v>Шарифов Саидхоча Мамадович</v>
      </c>
      <c r="F297" s="2" t="s">
        <v>400</v>
      </c>
      <c r="G297" s="7" t="str">
        <f>VLOOKUP(F297,Справочник!$K$2:$L$245,2,FALSE)</f>
        <v>Электросварщик</v>
      </c>
    </row>
    <row r="298" spans="1:7" ht="19.95" customHeight="1" x14ac:dyDescent="0.3">
      <c r="A298" s="5">
        <v>297</v>
      </c>
      <c r="B298" s="5" t="s">
        <v>65</v>
      </c>
      <c r="C298" s="5" t="str">
        <f>VLOOKUP(B298,Справочник!$A$2:$B$23,2,FALSE)</f>
        <v>Производство Кирпичзавод</v>
      </c>
      <c r="D298" s="5" t="s">
        <v>67</v>
      </c>
      <c r="E298" s="5" t="str">
        <f>VLOOKUP(D298,Справочник!$D$2:$E$119,2,FALSE)</f>
        <v>Шамсиев Мансурчон Муродович</v>
      </c>
      <c r="F298" s="2" t="s">
        <v>442</v>
      </c>
      <c r="G298" s="5" t="str">
        <f>VLOOKUP(F298,Справочник!$K$2:$L$245,2,FALSE)</f>
        <v>Бригадир</v>
      </c>
    </row>
    <row r="299" spans="1:7" ht="19.95" customHeight="1" x14ac:dyDescent="0.3">
      <c r="A299" s="6">
        <v>298</v>
      </c>
      <c r="B299" s="5" t="s">
        <v>65</v>
      </c>
      <c r="C299" s="5" t="str">
        <f>VLOOKUP(B299,Справочник!$A$2:$B$23,2,FALSE)</f>
        <v>Производство Кирпичзавод</v>
      </c>
      <c r="D299" s="5" t="s">
        <v>67</v>
      </c>
      <c r="E299" s="7" t="str">
        <f>VLOOKUP(D299,Справочник!$D$2:$E$119,2,FALSE)</f>
        <v>Шамсиев Мансурчон Муродович</v>
      </c>
      <c r="F299" s="2" t="s">
        <v>449</v>
      </c>
      <c r="G299" s="7" t="str">
        <f>VLOOKUP(F299,Справочник!$K$2:$L$245,2,FALSE)</f>
        <v>Водитель электронный трицикл</v>
      </c>
    </row>
    <row r="300" spans="1:7" ht="19.95" customHeight="1" x14ac:dyDescent="0.3">
      <c r="A300" s="5">
        <v>299</v>
      </c>
      <c r="B300" s="5" t="s">
        <v>65</v>
      </c>
      <c r="C300" s="5" t="str">
        <f>VLOOKUP(B300,Справочник!$A$2:$B$23,2,FALSE)</f>
        <v>Производство Кирпичзавод</v>
      </c>
      <c r="D300" s="5" t="s">
        <v>67</v>
      </c>
      <c r="E300" s="5" t="str">
        <f>VLOOKUP(D300,Справочник!$D$2:$E$119,2,FALSE)</f>
        <v>Шамсиев Мансурчон Муродович</v>
      </c>
      <c r="F300" s="2" t="s">
        <v>268</v>
      </c>
      <c r="G300" s="5" t="str">
        <f>VLOOKUP(F300,Справочник!$K$2:$L$245,2,FALSE)</f>
        <v>Вспомогательный работник</v>
      </c>
    </row>
    <row r="301" spans="1:7" ht="19.95" customHeight="1" x14ac:dyDescent="0.3">
      <c r="A301" s="6">
        <v>300</v>
      </c>
      <c r="B301" s="5" t="s">
        <v>65</v>
      </c>
      <c r="C301" s="5" t="str">
        <f>VLOOKUP(B301,Справочник!$A$2:$B$23,2,FALSE)</f>
        <v>Производство Кирпичзавод</v>
      </c>
      <c r="D301" s="5" t="s">
        <v>67</v>
      </c>
      <c r="E301" s="7" t="str">
        <f>VLOOKUP(D301,Справочник!$D$2:$E$119,2,FALSE)</f>
        <v>Шамсиев Мансурчон Муродович</v>
      </c>
      <c r="F301" s="2" t="s">
        <v>443</v>
      </c>
      <c r="G301" s="7" t="str">
        <f>VLOOKUP(F301,Справочник!$K$2:$L$245,2,FALSE)</f>
        <v>Гл.механик</v>
      </c>
    </row>
    <row r="302" spans="1:7" ht="19.95" customHeight="1" x14ac:dyDescent="0.3">
      <c r="A302" s="5">
        <v>301</v>
      </c>
      <c r="B302" s="5" t="s">
        <v>65</v>
      </c>
      <c r="C302" s="5" t="str">
        <f>VLOOKUP(B302,Справочник!$A$2:$B$23,2,FALSE)</f>
        <v>Производство Кирпичзавод</v>
      </c>
      <c r="D302" s="5" t="s">
        <v>67</v>
      </c>
      <c r="E302" s="5" t="str">
        <f>VLOOKUP(D302,Справочник!$D$2:$E$119,2,FALSE)</f>
        <v>Шамсиев Мансурчон Муродович</v>
      </c>
      <c r="F302" s="2" t="s">
        <v>271</v>
      </c>
      <c r="G302" s="5" t="str">
        <f>VLOOKUP(F302,Справочник!$K$2:$L$245,2,FALSE)</f>
        <v>Главный технолог</v>
      </c>
    </row>
    <row r="303" spans="1:7" ht="19.95" customHeight="1" x14ac:dyDescent="0.3">
      <c r="A303" s="6">
        <v>302</v>
      </c>
      <c r="B303" s="5" t="s">
        <v>65</v>
      </c>
      <c r="C303" s="5" t="str">
        <f>VLOOKUP(B303,Справочник!$A$2:$B$23,2,FALSE)</f>
        <v>Производство Кирпичзавод</v>
      </c>
      <c r="D303" s="5" t="s">
        <v>67</v>
      </c>
      <c r="E303" s="7" t="str">
        <f>VLOOKUP(D303,Справочник!$D$2:$E$119,2,FALSE)</f>
        <v>Шамсиев Мансурчон Муродович</v>
      </c>
      <c r="F303" s="2" t="s">
        <v>317</v>
      </c>
      <c r="G303" s="7" t="str">
        <f>VLOOKUP(F303,Справочник!$K$2:$L$245,2,FALSE)</f>
        <v>Грузчик</v>
      </c>
    </row>
    <row r="304" spans="1:7" ht="19.95" customHeight="1" x14ac:dyDescent="0.3">
      <c r="A304" s="5">
        <v>303</v>
      </c>
      <c r="B304" s="5" t="s">
        <v>65</v>
      </c>
      <c r="C304" s="5" t="str">
        <f>VLOOKUP(B304,Справочник!$A$2:$B$23,2,FALSE)</f>
        <v>Производство Кирпичзавод</v>
      </c>
      <c r="D304" s="5" t="s">
        <v>67</v>
      </c>
      <c r="E304" s="5" t="str">
        <f>VLOOKUP(D304,Справочник!$D$2:$E$119,2,FALSE)</f>
        <v>Шамсиев Мансурчон Муродович</v>
      </c>
      <c r="F304" s="2" t="s">
        <v>318</v>
      </c>
      <c r="G304" s="5" t="str">
        <f>VLOOKUP(F304,Справочник!$K$2:$L$245,2,FALSE)</f>
        <v>Заведующий складом</v>
      </c>
    </row>
    <row r="305" spans="1:7" ht="19.95" customHeight="1" x14ac:dyDescent="0.3">
      <c r="A305" s="6">
        <v>304</v>
      </c>
      <c r="B305" s="5" t="s">
        <v>65</v>
      </c>
      <c r="C305" s="5" t="str">
        <f>VLOOKUP(B305,Справочник!$A$2:$B$23,2,FALSE)</f>
        <v>Производство Кирпичзавод</v>
      </c>
      <c r="D305" s="5" t="s">
        <v>67</v>
      </c>
      <c r="E305" s="7" t="str">
        <f>VLOOKUP(D305,Справочник!$D$2:$E$119,2,FALSE)</f>
        <v>Шамсиев Мансурчон Муродович</v>
      </c>
      <c r="F305" s="2" t="s">
        <v>450</v>
      </c>
      <c r="G305" s="7" t="str">
        <f>VLOOKUP(F305,Справочник!$K$2:$L$245,2,FALSE)</f>
        <v>Инжинер</v>
      </c>
    </row>
    <row r="306" spans="1:7" ht="19.95" customHeight="1" x14ac:dyDescent="0.3">
      <c r="A306" s="5">
        <v>305</v>
      </c>
      <c r="B306" s="5" t="s">
        <v>65</v>
      </c>
      <c r="C306" s="5" t="str">
        <f>VLOOKUP(B306,Справочник!$A$2:$B$23,2,FALSE)</f>
        <v>Производство Кирпичзавод</v>
      </c>
      <c r="D306" s="5" t="s">
        <v>67</v>
      </c>
      <c r="E306" s="5" t="str">
        <f>VLOOKUP(D306,Справочник!$D$2:$E$119,2,FALSE)</f>
        <v>Шамсиев Мансурчон Муродович</v>
      </c>
      <c r="F306" s="2" t="s">
        <v>451</v>
      </c>
      <c r="G306" s="5" t="str">
        <f>VLOOKUP(F306,Справочник!$K$2:$L$245,2,FALSE)</f>
        <v>Кладчик</v>
      </c>
    </row>
    <row r="307" spans="1:7" ht="19.95" customHeight="1" x14ac:dyDescent="0.3">
      <c r="A307" s="6">
        <v>306</v>
      </c>
      <c r="B307" s="5" t="s">
        <v>65</v>
      </c>
      <c r="C307" s="5" t="str">
        <f>VLOOKUP(B307,Справочник!$A$2:$B$23,2,FALSE)</f>
        <v>Производство Кирпичзавод</v>
      </c>
      <c r="D307" s="5" t="s">
        <v>67</v>
      </c>
      <c r="E307" s="7" t="str">
        <f>VLOOKUP(D307,Справочник!$D$2:$E$119,2,FALSE)</f>
        <v>Шамсиев Мансурчон Муродович</v>
      </c>
      <c r="F307" s="2" t="s">
        <v>444</v>
      </c>
      <c r="G307" s="7" t="str">
        <f>VLOOKUP(F307,Справочник!$K$2:$L$245,2,FALSE)</f>
        <v>Коммерческий директор</v>
      </c>
    </row>
    <row r="308" spans="1:7" ht="19.95" customHeight="1" x14ac:dyDescent="0.3">
      <c r="A308" s="5">
        <v>307</v>
      </c>
      <c r="B308" s="5" t="s">
        <v>65</v>
      </c>
      <c r="C308" s="5" t="str">
        <f>VLOOKUP(B308,Справочник!$A$2:$B$23,2,FALSE)</f>
        <v>Производство Кирпичзавод</v>
      </c>
      <c r="D308" s="5" t="s">
        <v>67</v>
      </c>
      <c r="E308" s="5" t="str">
        <f>VLOOKUP(D308,Справочник!$D$2:$E$119,2,FALSE)</f>
        <v>Шамсиев Мансурчон Муродович</v>
      </c>
      <c r="F308" s="2" t="s">
        <v>374</v>
      </c>
      <c r="G308" s="5" t="str">
        <f>VLOOKUP(F308,Справочник!$K$2:$L$245,2,FALSE)</f>
        <v>Кочегар</v>
      </c>
    </row>
    <row r="309" spans="1:7" ht="19.95" customHeight="1" x14ac:dyDescent="0.3">
      <c r="A309" s="6">
        <v>308</v>
      </c>
      <c r="B309" s="5" t="s">
        <v>65</v>
      </c>
      <c r="C309" s="5" t="str">
        <f>VLOOKUP(B309,Справочник!$A$2:$B$23,2,FALSE)</f>
        <v>Производство Кирпичзавод</v>
      </c>
      <c r="D309" s="5" t="s">
        <v>67</v>
      </c>
      <c r="E309" s="7" t="str">
        <f>VLOOKUP(D309,Справочник!$D$2:$E$119,2,FALSE)</f>
        <v>Шамсиев Мансурчон Муродович</v>
      </c>
      <c r="F309" s="2" t="s">
        <v>370</v>
      </c>
      <c r="G309" s="7" t="str">
        <f>VLOOKUP(F309,Справочник!$K$2:$L$245,2,FALSE)</f>
        <v>Мастер</v>
      </c>
    </row>
    <row r="310" spans="1:7" ht="19.95" customHeight="1" x14ac:dyDescent="0.3">
      <c r="A310" s="5">
        <v>309</v>
      </c>
      <c r="B310" s="5" t="s">
        <v>65</v>
      </c>
      <c r="C310" s="5" t="str">
        <f>VLOOKUP(B310,Справочник!$A$2:$B$23,2,FALSE)</f>
        <v>Производство Кирпичзавод</v>
      </c>
      <c r="D310" s="5" t="s">
        <v>67</v>
      </c>
      <c r="E310" s="5" t="str">
        <f>VLOOKUP(D310,Справочник!$D$2:$E$119,2,FALSE)</f>
        <v>Шамсиев Мансурчон Муродович</v>
      </c>
      <c r="F310" s="2" t="s">
        <v>294</v>
      </c>
      <c r="G310" s="5" t="str">
        <f>VLOOKUP(F310,Справочник!$K$2:$L$245,2,FALSE)</f>
        <v>Механик</v>
      </c>
    </row>
    <row r="311" spans="1:7" ht="19.95" customHeight="1" x14ac:dyDescent="0.3">
      <c r="A311" s="6">
        <v>310</v>
      </c>
      <c r="B311" s="5" t="s">
        <v>65</v>
      </c>
      <c r="C311" s="5" t="str">
        <f>VLOOKUP(B311,Справочник!$A$2:$B$23,2,FALSE)</f>
        <v>Производство Кирпичзавод</v>
      </c>
      <c r="D311" s="5" t="s">
        <v>67</v>
      </c>
      <c r="E311" s="7" t="str">
        <f>VLOOKUP(D311,Справочник!$D$2:$E$119,2,FALSE)</f>
        <v>Шамсиев Мансурчон Муродович</v>
      </c>
      <c r="F311" s="2" t="s">
        <v>389</v>
      </c>
      <c r="G311" s="7" t="str">
        <f>VLOOKUP(F311,Справочник!$K$2:$L$245,2,FALSE)</f>
        <v>Начальник производства</v>
      </c>
    </row>
    <row r="312" spans="1:7" ht="19.95" customHeight="1" x14ac:dyDescent="0.3">
      <c r="A312" s="5">
        <v>311</v>
      </c>
      <c r="B312" s="5" t="s">
        <v>65</v>
      </c>
      <c r="C312" s="5" t="str">
        <f>VLOOKUP(B312,Справочник!$A$2:$B$23,2,FALSE)</f>
        <v>Производство Кирпичзавод</v>
      </c>
      <c r="D312" s="5" t="s">
        <v>67</v>
      </c>
      <c r="E312" s="5" t="str">
        <f>VLOOKUP(D312,Справочник!$D$2:$E$119,2,FALSE)</f>
        <v>Шамсиев Мансурчон Муродович</v>
      </c>
      <c r="F312" s="2" t="s">
        <v>300</v>
      </c>
      <c r="G312" s="5" t="str">
        <f>VLOOKUP(F312,Справочник!$K$2:$L$245,2,FALSE)</f>
        <v>Оператор</v>
      </c>
    </row>
    <row r="313" spans="1:7" ht="19.95" customHeight="1" x14ac:dyDescent="0.3">
      <c r="A313" s="6">
        <v>312</v>
      </c>
      <c r="B313" s="5" t="s">
        <v>65</v>
      </c>
      <c r="C313" s="5" t="str">
        <f>VLOOKUP(B313,Справочник!$A$2:$B$23,2,FALSE)</f>
        <v>Производство Кирпичзавод</v>
      </c>
      <c r="D313" s="5" t="s">
        <v>67</v>
      </c>
      <c r="E313" s="7" t="str">
        <f>VLOOKUP(D313,Справочник!$D$2:$E$119,2,FALSE)</f>
        <v>Шамсиев Мансурчон Муродович</v>
      </c>
      <c r="F313" s="2" t="s">
        <v>257</v>
      </c>
      <c r="G313" s="7" t="str">
        <f>VLOOKUP(F313,Справочник!$K$2:$L$245,2,FALSE)</f>
        <v>Руководитель</v>
      </c>
    </row>
    <row r="314" spans="1:7" ht="19.95" customHeight="1" x14ac:dyDescent="0.3">
      <c r="A314" s="5">
        <v>313</v>
      </c>
      <c r="B314" s="5" t="s">
        <v>65</v>
      </c>
      <c r="C314" s="5" t="str">
        <f>VLOOKUP(B314,Справочник!$A$2:$B$23,2,FALSE)</f>
        <v>Производство Кирпичзавод</v>
      </c>
      <c r="D314" s="5" t="s">
        <v>67</v>
      </c>
      <c r="E314" s="5" t="str">
        <f>VLOOKUP(D314,Справочник!$D$2:$E$119,2,FALSE)</f>
        <v>Шамсиев Мансурчон Муродович</v>
      </c>
      <c r="F314" s="2" t="s">
        <v>452</v>
      </c>
      <c r="G314" s="5" t="str">
        <f>VLOOKUP(F314,Справочник!$K$2:$L$245,2,FALSE)</f>
        <v>Садчик</v>
      </c>
    </row>
    <row r="315" spans="1:7" ht="19.95" customHeight="1" x14ac:dyDescent="0.3">
      <c r="A315" s="6">
        <v>314</v>
      </c>
      <c r="B315" s="5" t="s">
        <v>65</v>
      </c>
      <c r="C315" s="5" t="str">
        <f>VLOOKUP(B315,Справочник!$A$2:$B$23,2,FALSE)</f>
        <v>Производство Кирпичзавод</v>
      </c>
      <c r="D315" s="5" t="s">
        <v>67</v>
      </c>
      <c r="E315" s="7" t="str">
        <f>VLOOKUP(D315,Справочник!$D$2:$E$119,2,FALSE)</f>
        <v>Шамсиев Мансурчон Муродович</v>
      </c>
      <c r="F315" s="2" t="s">
        <v>446</v>
      </c>
      <c r="G315" s="7" t="str">
        <f>VLOOKUP(F315,Справочник!$K$2:$L$245,2,FALSE)</f>
        <v>Снабженец</v>
      </c>
    </row>
    <row r="316" spans="1:7" ht="19.95" customHeight="1" x14ac:dyDescent="0.3">
      <c r="A316" s="5">
        <v>315</v>
      </c>
      <c r="B316" s="5" t="s">
        <v>65</v>
      </c>
      <c r="C316" s="5" t="str">
        <f>VLOOKUP(B316,Справочник!$A$2:$B$23,2,FALSE)</f>
        <v>Производство Кирпичзавод</v>
      </c>
      <c r="D316" s="5" t="s">
        <v>67</v>
      </c>
      <c r="E316" s="5" t="str">
        <f>VLOOKUP(D316,Справочник!$D$2:$E$119,2,FALSE)</f>
        <v>Шамсиев Мансурчон Муродович</v>
      </c>
      <c r="F316" s="2" t="s">
        <v>448</v>
      </c>
      <c r="G316" s="5" t="str">
        <f>VLOOKUP(F316,Справочник!$K$2:$L$245,2,FALSE)</f>
        <v>Электрик</v>
      </c>
    </row>
    <row r="317" spans="1:7" ht="19.95" customHeight="1" x14ac:dyDescent="0.3">
      <c r="A317" s="6">
        <v>316</v>
      </c>
      <c r="B317" s="5" t="s">
        <v>68</v>
      </c>
      <c r="C317" s="5" t="str">
        <f>VLOOKUP(B317,Справочник!$A$2:$B$23,2,FALSE)</f>
        <v>Производство РБУ</v>
      </c>
      <c r="D317" s="5" t="s">
        <v>70</v>
      </c>
      <c r="E317" s="7" t="str">
        <f>VLOOKUP(D317,Справочник!$D$2:$E$119,2,FALSE)</f>
        <v>Окилов Баротчон Камолович</v>
      </c>
      <c r="F317" s="2" t="s">
        <v>268</v>
      </c>
      <c r="G317" s="7" t="str">
        <f>VLOOKUP(F317,Справочник!$K$2:$L$245,2,FALSE)</f>
        <v>Вспомогательный работник</v>
      </c>
    </row>
    <row r="318" spans="1:7" ht="19.95" customHeight="1" x14ac:dyDescent="0.3">
      <c r="A318" s="5">
        <v>317</v>
      </c>
      <c r="B318" s="5" t="s">
        <v>68</v>
      </c>
      <c r="C318" s="5" t="str">
        <f>VLOOKUP(B318,Справочник!$A$2:$B$23,2,FALSE)</f>
        <v>Производство РБУ</v>
      </c>
      <c r="D318" s="5" t="s">
        <v>70</v>
      </c>
      <c r="E318" s="5" t="str">
        <f>VLOOKUP(D318,Справочник!$D$2:$E$119,2,FALSE)</f>
        <v>Окилов Баротчон Камолович</v>
      </c>
      <c r="F318" s="2" t="s">
        <v>443</v>
      </c>
      <c r="G318" s="5" t="str">
        <f>VLOOKUP(F318,Справочник!$K$2:$L$245,2,FALSE)</f>
        <v>Гл.механик</v>
      </c>
    </row>
    <row r="319" spans="1:7" ht="19.95" customHeight="1" x14ac:dyDescent="0.3">
      <c r="A319" s="6">
        <v>318</v>
      </c>
      <c r="B319" s="5" t="s">
        <v>68</v>
      </c>
      <c r="C319" s="5" t="str">
        <f>VLOOKUP(B319,Справочник!$A$2:$B$23,2,FALSE)</f>
        <v>Производство РБУ</v>
      </c>
      <c r="D319" s="5" t="s">
        <v>70</v>
      </c>
      <c r="E319" s="7" t="str">
        <f>VLOOKUP(D319,Справочник!$D$2:$E$119,2,FALSE)</f>
        <v>Окилов Баротчон Камолович</v>
      </c>
      <c r="F319" s="2" t="s">
        <v>271</v>
      </c>
      <c r="G319" s="7" t="str">
        <f>VLOOKUP(F319,Справочник!$K$2:$L$245,2,FALSE)</f>
        <v>Главный технолог</v>
      </c>
    </row>
    <row r="320" spans="1:7" ht="19.95" customHeight="1" x14ac:dyDescent="0.3">
      <c r="A320" s="5">
        <v>319</v>
      </c>
      <c r="B320" s="5" t="s">
        <v>68</v>
      </c>
      <c r="C320" s="5" t="str">
        <f>VLOOKUP(B320,Справочник!$A$2:$B$23,2,FALSE)</f>
        <v>Производство РБУ</v>
      </c>
      <c r="D320" s="5" t="s">
        <v>70</v>
      </c>
      <c r="E320" s="5" t="str">
        <f>VLOOKUP(D320,Справочник!$D$2:$E$119,2,FALSE)</f>
        <v>Окилов Баротчон Камолович</v>
      </c>
      <c r="F320" s="2" t="s">
        <v>444</v>
      </c>
      <c r="G320" s="5" t="str">
        <f>VLOOKUP(F320,Справочник!$K$2:$L$245,2,FALSE)</f>
        <v>Коммерческий директор</v>
      </c>
    </row>
    <row r="321" spans="1:7" ht="19.95" customHeight="1" x14ac:dyDescent="0.3">
      <c r="A321" s="6">
        <v>320</v>
      </c>
      <c r="B321" s="5" t="s">
        <v>68</v>
      </c>
      <c r="C321" s="5" t="str">
        <f>VLOOKUP(B321,Справочник!$A$2:$B$23,2,FALSE)</f>
        <v>Производство РБУ</v>
      </c>
      <c r="D321" s="5" t="s">
        <v>70</v>
      </c>
      <c r="E321" s="7" t="str">
        <f>VLOOKUP(D321,Справочник!$D$2:$E$119,2,FALSE)</f>
        <v>Окилов Баротчон Камолович</v>
      </c>
      <c r="F321" s="2" t="s">
        <v>389</v>
      </c>
      <c r="G321" s="7" t="str">
        <f>VLOOKUP(F321,Справочник!$K$2:$L$245,2,FALSE)</f>
        <v>Начальник производства</v>
      </c>
    </row>
    <row r="322" spans="1:7" ht="19.95" customHeight="1" x14ac:dyDescent="0.3">
      <c r="A322" s="5">
        <v>321</v>
      </c>
      <c r="B322" s="5" t="s">
        <v>68</v>
      </c>
      <c r="C322" s="5" t="str">
        <f>VLOOKUP(B322,Справочник!$A$2:$B$23,2,FALSE)</f>
        <v>Производство РБУ</v>
      </c>
      <c r="D322" s="5" t="s">
        <v>70</v>
      </c>
      <c r="E322" s="5" t="str">
        <f>VLOOKUP(D322,Справочник!$D$2:$E$119,2,FALSE)</f>
        <v>Окилов Баротчон Камолович</v>
      </c>
      <c r="F322" s="2" t="s">
        <v>300</v>
      </c>
      <c r="G322" s="5" t="str">
        <f>VLOOKUP(F322,Справочник!$K$2:$L$245,2,FALSE)</f>
        <v>Оператор</v>
      </c>
    </row>
    <row r="323" spans="1:7" ht="19.95" customHeight="1" x14ac:dyDescent="0.3">
      <c r="A323" s="6">
        <v>322</v>
      </c>
      <c r="B323" s="5" t="s">
        <v>68</v>
      </c>
      <c r="C323" s="5" t="str">
        <f>VLOOKUP(B323,Справочник!$A$2:$B$23,2,FALSE)</f>
        <v>Производство РБУ</v>
      </c>
      <c r="D323" s="5" t="s">
        <v>70</v>
      </c>
      <c r="E323" s="7" t="str">
        <f>VLOOKUP(D323,Справочник!$D$2:$E$119,2,FALSE)</f>
        <v>Окилов Баротчон Камолович</v>
      </c>
      <c r="F323" s="2" t="s">
        <v>257</v>
      </c>
      <c r="G323" s="7" t="str">
        <f>VLOOKUP(F323,Справочник!$K$2:$L$245,2,FALSE)</f>
        <v>Руководитель</v>
      </c>
    </row>
    <row r="324" spans="1:7" ht="19.95" customHeight="1" x14ac:dyDescent="0.3">
      <c r="A324" s="5">
        <v>323</v>
      </c>
      <c r="B324" s="5" t="s">
        <v>68</v>
      </c>
      <c r="C324" s="5" t="str">
        <f>VLOOKUP(B324,Справочник!$A$2:$B$23,2,FALSE)</f>
        <v>Производство РБУ</v>
      </c>
      <c r="D324" s="5" t="s">
        <v>70</v>
      </c>
      <c r="E324" s="5" t="str">
        <f>VLOOKUP(D324,Справочник!$D$2:$E$119,2,FALSE)</f>
        <v>Окилов Баротчон Камолович</v>
      </c>
      <c r="F324" s="2" t="s">
        <v>446</v>
      </c>
      <c r="G324" s="5" t="str">
        <f>VLOOKUP(F324,Справочник!$K$2:$L$245,2,FALSE)</f>
        <v>Снабженец</v>
      </c>
    </row>
    <row r="325" spans="1:7" ht="19.95" customHeight="1" x14ac:dyDescent="0.3">
      <c r="A325" s="6">
        <v>324</v>
      </c>
      <c r="B325" s="5" t="s">
        <v>68</v>
      </c>
      <c r="C325" s="5" t="str">
        <f>VLOOKUP(B325,Справочник!$A$2:$B$23,2,FALSE)</f>
        <v>Производство РБУ</v>
      </c>
      <c r="D325" s="5" t="s">
        <v>70</v>
      </c>
      <c r="E325" s="7" t="str">
        <f>VLOOKUP(D325,Справочник!$D$2:$E$119,2,FALSE)</f>
        <v>Окилов Баротчон Камолович</v>
      </c>
      <c r="F325" s="2" t="s">
        <v>448</v>
      </c>
      <c r="G325" s="7" t="str">
        <f>VLOOKUP(F325,Справочник!$K$2:$L$245,2,FALSE)</f>
        <v>Электрик</v>
      </c>
    </row>
    <row r="326" spans="1:7" ht="34.049999999999997" customHeight="1" x14ac:dyDescent="0.3">
      <c r="A326" s="5">
        <v>325</v>
      </c>
      <c r="B326" s="5" t="s">
        <v>71</v>
      </c>
      <c r="C326" s="5" t="str">
        <f>VLOOKUP(B326,Справочник!$A$2:$B$23,2,FALSE)</f>
        <v>Проиозводство Гравий</v>
      </c>
      <c r="D326" s="5" t="s">
        <v>73</v>
      </c>
      <c r="E326" s="5" t="str">
        <f>VLOOKUP(D326,Справочник!$D$2:$E$119,2,FALSE)</f>
        <v>Абдувохидов Чамшед Шарифчонович</v>
      </c>
      <c r="F326" s="2" t="s">
        <v>268</v>
      </c>
      <c r="G326" s="5" t="str">
        <f>VLOOKUP(F326,Справочник!$K$2:$L$245,2,FALSE)</f>
        <v>Вспомогательный работник</v>
      </c>
    </row>
    <row r="327" spans="1:7" ht="34.049999999999997" customHeight="1" x14ac:dyDescent="0.3">
      <c r="A327" s="6">
        <v>326</v>
      </c>
      <c r="B327" s="5" t="s">
        <v>71</v>
      </c>
      <c r="C327" s="5" t="str">
        <f>VLOOKUP(B327,Справочник!$A$2:$B$23,2,FALSE)</f>
        <v>Проиозводство Гравий</v>
      </c>
      <c r="D327" s="5" t="s">
        <v>73</v>
      </c>
      <c r="E327" s="7" t="str">
        <f>VLOOKUP(D327,Справочник!$D$2:$E$119,2,FALSE)</f>
        <v>Абдувохидов Чамшед Шарифчонович</v>
      </c>
      <c r="F327" s="2" t="s">
        <v>443</v>
      </c>
      <c r="G327" s="7" t="str">
        <f>VLOOKUP(F327,Справочник!$K$2:$L$245,2,FALSE)</f>
        <v>Гл.механик</v>
      </c>
    </row>
    <row r="328" spans="1:7" ht="34.049999999999997" customHeight="1" x14ac:dyDescent="0.3">
      <c r="A328" s="5">
        <v>327</v>
      </c>
      <c r="B328" s="5" t="s">
        <v>71</v>
      </c>
      <c r="C328" s="5" t="str">
        <f>VLOOKUP(B328,Справочник!$A$2:$B$23,2,FALSE)</f>
        <v>Проиозводство Гравий</v>
      </c>
      <c r="D328" s="5" t="s">
        <v>73</v>
      </c>
      <c r="E328" s="5" t="str">
        <f>VLOOKUP(D328,Справочник!$D$2:$E$119,2,FALSE)</f>
        <v>Абдувохидов Чамшед Шарифчонович</v>
      </c>
      <c r="F328" s="2" t="s">
        <v>271</v>
      </c>
      <c r="G328" s="5" t="str">
        <f>VLOOKUP(F328,Справочник!$K$2:$L$245,2,FALSE)</f>
        <v>Главный технолог</v>
      </c>
    </row>
    <row r="329" spans="1:7" ht="34.049999999999997" customHeight="1" x14ac:dyDescent="0.3">
      <c r="A329" s="6">
        <v>328</v>
      </c>
      <c r="B329" s="5" t="s">
        <v>71</v>
      </c>
      <c r="C329" s="5" t="str">
        <f>VLOOKUP(B329,Справочник!$A$2:$B$23,2,FALSE)</f>
        <v>Проиозводство Гравий</v>
      </c>
      <c r="D329" s="5" t="s">
        <v>73</v>
      </c>
      <c r="E329" s="7" t="str">
        <f>VLOOKUP(D329,Справочник!$D$2:$E$119,2,FALSE)</f>
        <v>Абдувохидов Чамшед Шарифчонович</v>
      </c>
      <c r="F329" s="2" t="s">
        <v>318</v>
      </c>
      <c r="G329" s="7" t="str">
        <f>VLOOKUP(F329,Справочник!$K$2:$L$245,2,FALSE)</f>
        <v>Заведующий складом</v>
      </c>
    </row>
    <row r="330" spans="1:7" ht="34.049999999999997" customHeight="1" x14ac:dyDescent="0.3">
      <c r="A330" s="5">
        <v>329</v>
      </c>
      <c r="B330" s="5" t="s">
        <v>71</v>
      </c>
      <c r="C330" s="5" t="str">
        <f>VLOOKUP(B330,Справочник!$A$2:$B$23,2,FALSE)</f>
        <v>Проиозводство Гравий</v>
      </c>
      <c r="D330" s="5" t="s">
        <v>73</v>
      </c>
      <c r="E330" s="5" t="str">
        <f>VLOOKUP(D330,Справочник!$D$2:$E$119,2,FALSE)</f>
        <v>Абдувохидов Чамшед Шарифчонович</v>
      </c>
      <c r="F330" s="2" t="s">
        <v>444</v>
      </c>
      <c r="G330" s="5" t="str">
        <f>VLOOKUP(F330,Справочник!$K$2:$L$245,2,FALSE)</f>
        <v>Коммерческий директор</v>
      </c>
    </row>
    <row r="331" spans="1:7" ht="34.049999999999997" customHeight="1" x14ac:dyDescent="0.3">
      <c r="A331" s="6">
        <v>330</v>
      </c>
      <c r="B331" s="5" t="s">
        <v>71</v>
      </c>
      <c r="C331" s="5" t="str">
        <f>VLOOKUP(B331,Справочник!$A$2:$B$23,2,FALSE)</f>
        <v>Проиозводство Гравий</v>
      </c>
      <c r="D331" s="5" t="s">
        <v>73</v>
      </c>
      <c r="E331" s="7" t="str">
        <f>VLOOKUP(D331,Справочник!$D$2:$E$119,2,FALSE)</f>
        <v>Абдувохидов Чамшед Шарифчонович</v>
      </c>
      <c r="F331" s="2" t="s">
        <v>453</v>
      </c>
      <c r="G331" s="7" t="str">
        <f>VLOOKUP(F331,Справочник!$K$2:$L$245,2,FALSE)</f>
        <v>Лаборант-экспедитор</v>
      </c>
    </row>
    <row r="332" spans="1:7" ht="34.049999999999997" customHeight="1" x14ac:dyDescent="0.3">
      <c r="A332" s="5">
        <v>331</v>
      </c>
      <c r="B332" s="5" t="s">
        <v>71</v>
      </c>
      <c r="C332" s="5" t="str">
        <f>VLOOKUP(B332,Справочник!$A$2:$B$23,2,FALSE)</f>
        <v>Проиозводство Гравий</v>
      </c>
      <c r="D332" s="5" t="s">
        <v>73</v>
      </c>
      <c r="E332" s="5" t="str">
        <f>VLOOKUP(D332,Справочник!$D$2:$E$119,2,FALSE)</f>
        <v>Абдувохидов Чамшед Шарифчонович</v>
      </c>
      <c r="F332" s="2" t="s">
        <v>346</v>
      </c>
      <c r="G332" s="5" t="str">
        <f>VLOOKUP(F332,Справочник!$K$2:$L$245,2,FALSE)</f>
        <v>Менеджер по продажам</v>
      </c>
    </row>
    <row r="333" spans="1:7" ht="34.049999999999997" customHeight="1" x14ac:dyDescent="0.3">
      <c r="A333" s="6">
        <v>332</v>
      </c>
      <c r="B333" s="5" t="s">
        <v>71</v>
      </c>
      <c r="C333" s="5" t="str">
        <f>VLOOKUP(B333,Справочник!$A$2:$B$23,2,FALSE)</f>
        <v>Проиозводство Гравий</v>
      </c>
      <c r="D333" s="5" t="s">
        <v>73</v>
      </c>
      <c r="E333" s="7" t="str">
        <f>VLOOKUP(D333,Справочник!$D$2:$E$119,2,FALSE)</f>
        <v>Абдувохидов Чамшед Шарифчонович</v>
      </c>
      <c r="F333" s="2" t="s">
        <v>294</v>
      </c>
      <c r="G333" s="7" t="str">
        <f>VLOOKUP(F333,Справочник!$K$2:$L$245,2,FALSE)</f>
        <v>Механик</v>
      </c>
    </row>
    <row r="334" spans="1:7" ht="34.049999999999997" customHeight="1" x14ac:dyDescent="0.3">
      <c r="A334" s="5">
        <v>333</v>
      </c>
      <c r="B334" s="5" t="s">
        <v>71</v>
      </c>
      <c r="C334" s="5" t="str">
        <f>VLOOKUP(B334,Справочник!$A$2:$B$23,2,FALSE)</f>
        <v>Проиозводство Гравий</v>
      </c>
      <c r="D334" s="5" t="s">
        <v>73</v>
      </c>
      <c r="E334" s="5" t="str">
        <f>VLOOKUP(D334,Справочник!$D$2:$E$119,2,FALSE)</f>
        <v>Абдувохидов Чамшед Шарифчонович</v>
      </c>
      <c r="F334" s="2" t="s">
        <v>389</v>
      </c>
      <c r="G334" s="5" t="str">
        <f>VLOOKUP(F334,Справочник!$K$2:$L$245,2,FALSE)</f>
        <v>Начальник производства</v>
      </c>
    </row>
    <row r="335" spans="1:7" ht="34.049999999999997" customHeight="1" x14ac:dyDescent="0.3">
      <c r="A335" s="6">
        <v>334</v>
      </c>
      <c r="B335" s="5" t="s">
        <v>71</v>
      </c>
      <c r="C335" s="5" t="str">
        <f>VLOOKUP(B335,Справочник!$A$2:$B$23,2,FALSE)</f>
        <v>Проиозводство Гравий</v>
      </c>
      <c r="D335" s="5" t="s">
        <v>73</v>
      </c>
      <c r="E335" s="7" t="str">
        <f>VLOOKUP(D335,Справочник!$D$2:$E$119,2,FALSE)</f>
        <v>Абдувохидов Чамшед Шарифчонович</v>
      </c>
      <c r="F335" s="2" t="s">
        <v>300</v>
      </c>
      <c r="G335" s="7" t="str">
        <f>VLOOKUP(F335,Справочник!$K$2:$L$245,2,FALSE)</f>
        <v>Оператор</v>
      </c>
    </row>
    <row r="336" spans="1:7" ht="34.049999999999997" customHeight="1" x14ac:dyDescent="0.3">
      <c r="A336" s="5">
        <v>335</v>
      </c>
      <c r="B336" s="5" t="s">
        <v>71</v>
      </c>
      <c r="C336" s="5" t="str">
        <f>VLOOKUP(B336,Справочник!$A$2:$B$23,2,FALSE)</f>
        <v>Проиозводство Гравий</v>
      </c>
      <c r="D336" s="5" t="s">
        <v>73</v>
      </c>
      <c r="E336" s="5" t="str">
        <f>VLOOKUP(D336,Справочник!$D$2:$E$119,2,FALSE)</f>
        <v>Абдувохидов Чамшед Шарифчонович</v>
      </c>
      <c r="F336" s="2" t="s">
        <v>454</v>
      </c>
      <c r="G336" s="5" t="str">
        <f>VLOOKUP(F336,Справочник!$K$2:$L$245,2,FALSE)</f>
        <v>Риск-менеджер</v>
      </c>
    </row>
    <row r="337" spans="1:7" ht="34.049999999999997" customHeight="1" x14ac:dyDescent="0.3">
      <c r="A337" s="6">
        <v>336</v>
      </c>
      <c r="B337" s="5" t="s">
        <v>71</v>
      </c>
      <c r="C337" s="5" t="str">
        <f>VLOOKUP(B337,Справочник!$A$2:$B$23,2,FALSE)</f>
        <v>Проиозводство Гравий</v>
      </c>
      <c r="D337" s="5" t="s">
        <v>73</v>
      </c>
      <c r="E337" s="7" t="str">
        <f>VLOOKUP(D337,Справочник!$D$2:$E$119,2,FALSE)</f>
        <v>Абдувохидов Чамшед Шарифчонович</v>
      </c>
      <c r="F337" s="2" t="s">
        <v>257</v>
      </c>
      <c r="G337" s="7" t="str">
        <f>VLOOKUP(F337,Справочник!$K$2:$L$245,2,FALSE)</f>
        <v>Руководитель</v>
      </c>
    </row>
    <row r="338" spans="1:7" ht="34.049999999999997" customHeight="1" x14ac:dyDescent="0.3">
      <c r="A338" s="5">
        <v>337</v>
      </c>
      <c r="B338" s="5" t="s">
        <v>71</v>
      </c>
      <c r="C338" s="5" t="str">
        <f>VLOOKUP(B338,Справочник!$A$2:$B$23,2,FALSE)</f>
        <v>Проиозводство Гравий</v>
      </c>
      <c r="D338" s="5" t="s">
        <v>73</v>
      </c>
      <c r="E338" s="5" t="str">
        <f>VLOOKUP(D338,Справочник!$D$2:$E$119,2,FALSE)</f>
        <v>Абдувохидов Чамшед Шарифчонович</v>
      </c>
      <c r="F338" s="2" t="s">
        <v>455</v>
      </c>
      <c r="G338" s="5" t="str">
        <f>VLOOKUP(F338,Справочник!$K$2:$L$245,2,FALSE)</f>
        <v>Руководитель продаж</v>
      </c>
    </row>
    <row r="339" spans="1:7" ht="34.049999999999997" customHeight="1" x14ac:dyDescent="0.3">
      <c r="A339" s="6">
        <v>338</v>
      </c>
      <c r="B339" s="5" t="s">
        <v>71</v>
      </c>
      <c r="C339" s="5" t="str">
        <f>VLOOKUP(B339,Справочник!$A$2:$B$23,2,FALSE)</f>
        <v>Проиозводство Гравий</v>
      </c>
      <c r="D339" s="5" t="s">
        <v>73</v>
      </c>
      <c r="E339" s="7" t="str">
        <f>VLOOKUP(D339,Справочник!$D$2:$E$119,2,FALSE)</f>
        <v>Абдувохидов Чамшед Шарифчонович</v>
      </c>
      <c r="F339" s="2" t="s">
        <v>456</v>
      </c>
      <c r="G339" s="7" t="str">
        <f>VLOOKUP(F339,Справочник!$K$2:$L$245,2,FALSE)</f>
        <v>Слесарь-механик</v>
      </c>
    </row>
    <row r="340" spans="1:7" ht="34.049999999999997" customHeight="1" x14ac:dyDescent="0.3">
      <c r="A340" s="5">
        <v>339</v>
      </c>
      <c r="B340" s="5" t="s">
        <v>71</v>
      </c>
      <c r="C340" s="5" t="str">
        <f>VLOOKUP(B340,Справочник!$A$2:$B$23,2,FALSE)</f>
        <v>Проиозводство Гравий</v>
      </c>
      <c r="D340" s="5" t="s">
        <v>73</v>
      </c>
      <c r="E340" s="5" t="str">
        <f>VLOOKUP(D340,Справочник!$D$2:$E$119,2,FALSE)</f>
        <v>Абдувохидов Чамшед Шарифчонович</v>
      </c>
      <c r="F340" s="2" t="s">
        <v>446</v>
      </c>
      <c r="G340" s="5" t="str">
        <f>VLOOKUP(F340,Справочник!$K$2:$L$245,2,FALSE)</f>
        <v>Снабженец</v>
      </c>
    </row>
    <row r="341" spans="1:7" ht="34.049999999999997" customHeight="1" x14ac:dyDescent="0.3">
      <c r="A341" s="6">
        <v>340</v>
      </c>
      <c r="B341" s="5" t="s">
        <v>71</v>
      </c>
      <c r="C341" s="5" t="str">
        <f>VLOOKUP(B341,Справочник!$A$2:$B$23,2,FALSE)</f>
        <v>Проиозводство Гравий</v>
      </c>
      <c r="D341" s="5" t="s">
        <v>73</v>
      </c>
      <c r="E341" s="7" t="str">
        <f>VLOOKUP(D341,Справочник!$D$2:$E$119,2,FALSE)</f>
        <v>Абдувохидов Чамшед Шарифчонович</v>
      </c>
      <c r="F341" s="2" t="s">
        <v>358</v>
      </c>
      <c r="G341" s="7" t="str">
        <f>VLOOKUP(F341,Справочник!$K$2:$L$245,2,FALSE)</f>
        <v>Специалист</v>
      </c>
    </row>
    <row r="342" spans="1:7" ht="34.049999999999997" customHeight="1" x14ac:dyDescent="0.3">
      <c r="A342" s="5">
        <v>341</v>
      </c>
      <c r="B342" s="5" t="s">
        <v>71</v>
      </c>
      <c r="C342" s="5" t="str">
        <f>VLOOKUP(B342,Справочник!$A$2:$B$23,2,FALSE)</f>
        <v>Проиозводство Гравий</v>
      </c>
      <c r="D342" s="5" t="s">
        <v>73</v>
      </c>
      <c r="E342" s="5" t="str">
        <f>VLOOKUP(D342,Справочник!$D$2:$E$119,2,FALSE)</f>
        <v>Абдувохидов Чамшед Шарифчонович</v>
      </c>
      <c r="F342" s="2" t="s">
        <v>457</v>
      </c>
      <c r="G342" s="5" t="str">
        <f>VLOOKUP(F342,Справочник!$K$2:$L$245,2,FALSE)</f>
        <v>Специалист по отчету продажа</v>
      </c>
    </row>
    <row r="343" spans="1:7" ht="34.049999999999997" customHeight="1" x14ac:dyDescent="0.3">
      <c r="A343" s="6">
        <v>342</v>
      </c>
      <c r="B343" s="5" t="s">
        <v>71</v>
      </c>
      <c r="C343" s="5" t="str">
        <f>VLOOKUP(B343,Справочник!$A$2:$B$23,2,FALSE)</f>
        <v>Проиозводство Гравий</v>
      </c>
      <c r="D343" s="5" t="s">
        <v>73</v>
      </c>
      <c r="E343" s="7" t="str">
        <f>VLOOKUP(D343,Справочник!$D$2:$E$119,2,FALSE)</f>
        <v>Абдувохидов Чамшед Шарифчонович</v>
      </c>
      <c r="F343" s="2" t="s">
        <v>458</v>
      </c>
      <c r="G343" s="7" t="str">
        <f>VLOOKUP(F343,Справочник!$K$2:$L$245,2,FALSE)</f>
        <v>Ст.Лаборант</v>
      </c>
    </row>
    <row r="344" spans="1:7" ht="34.049999999999997" customHeight="1" x14ac:dyDescent="0.3">
      <c r="A344" s="5">
        <v>343</v>
      </c>
      <c r="B344" s="5" t="s">
        <v>71</v>
      </c>
      <c r="C344" s="5" t="str">
        <f>VLOOKUP(B344,Справочник!$A$2:$B$23,2,FALSE)</f>
        <v>Проиозводство Гравий</v>
      </c>
      <c r="D344" s="5" t="s">
        <v>73</v>
      </c>
      <c r="E344" s="5" t="str">
        <f>VLOOKUP(D344,Справочник!$D$2:$E$119,2,FALSE)</f>
        <v>Абдувохидов Чамшед Шарифчонович</v>
      </c>
      <c r="F344" s="2" t="s">
        <v>448</v>
      </c>
      <c r="G344" s="5" t="str">
        <f>VLOOKUP(F344,Справочник!$K$2:$L$245,2,FALSE)</f>
        <v>Электрик</v>
      </c>
    </row>
    <row r="345" spans="1:7" ht="34.049999999999997" customHeight="1" x14ac:dyDescent="0.3">
      <c r="A345" s="6">
        <v>344</v>
      </c>
      <c r="B345" s="5" t="s">
        <v>71</v>
      </c>
      <c r="C345" s="5" t="str">
        <f>VLOOKUP(B345,Справочник!$A$2:$B$23,2,FALSE)</f>
        <v>Проиозводство Гравий</v>
      </c>
      <c r="D345" s="5" t="s">
        <v>73</v>
      </c>
      <c r="E345" s="7" t="str">
        <f>VLOOKUP(D345,Справочник!$D$2:$E$119,2,FALSE)</f>
        <v>Абдувохидов Чамшед Шарифчонович</v>
      </c>
      <c r="F345" s="2" t="s">
        <v>400</v>
      </c>
      <c r="G345" s="7" t="str">
        <f>VLOOKUP(F345,Справочник!$K$2:$L$245,2,FALSE)</f>
        <v>Электросварщик</v>
      </c>
    </row>
    <row r="346" spans="1:7" ht="19.95" customHeight="1" x14ac:dyDescent="0.3">
      <c r="A346" s="5">
        <v>345</v>
      </c>
      <c r="B346" s="5" t="s">
        <v>74</v>
      </c>
      <c r="C346" s="5" t="str">
        <f>VLOOKUP(B346,Справочник!$A$2:$B$23,2,FALSE)</f>
        <v>Служба Внутреннего аудита</v>
      </c>
      <c r="D346" s="5" t="s">
        <v>76</v>
      </c>
      <c r="E346" s="5" t="str">
        <f>VLOOKUP(D346,Справочник!$D$2:$E$119,2,FALSE)</f>
        <v>Рабиев Илхомджон Бобочонович</v>
      </c>
      <c r="F346" s="2" t="s">
        <v>459</v>
      </c>
      <c r="G346" s="5" t="str">
        <f>VLOOKUP(F346,Справочник!$K$2:$L$245,2,FALSE)</f>
        <v>Аудитор</v>
      </c>
    </row>
    <row r="347" spans="1:7" ht="19.95" customHeight="1" x14ac:dyDescent="0.3">
      <c r="A347" s="6">
        <v>346</v>
      </c>
      <c r="B347" s="5" t="s">
        <v>74</v>
      </c>
      <c r="C347" s="5" t="str">
        <f>VLOOKUP(B347,Справочник!$A$2:$B$23,2,FALSE)</f>
        <v>Служба Внутреннего аудита</v>
      </c>
      <c r="D347" s="5" t="s">
        <v>76</v>
      </c>
      <c r="E347" s="7" t="str">
        <f>VLOOKUP(D347,Справочник!$D$2:$E$119,2,FALSE)</f>
        <v>Рабиев Илхомджон Бобочонович</v>
      </c>
      <c r="F347" s="2" t="s">
        <v>460</v>
      </c>
      <c r="G347" s="7" t="str">
        <f>VLOOKUP(F347,Справочник!$K$2:$L$245,2,FALSE)</f>
        <v>Главный аудитор</v>
      </c>
    </row>
    <row r="348" spans="1:7" ht="19.95" customHeight="1" x14ac:dyDescent="0.3">
      <c r="A348" s="5">
        <v>347</v>
      </c>
      <c r="B348" s="5" t="s">
        <v>74</v>
      </c>
      <c r="C348" s="5" t="str">
        <f>VLOOKUP(B348,Справочник!$A$2:$B$23,2,FALSE)</f>
        <v>Служба Внутреннего аудита</v>
      </c>
      <c r="D348" s="5" t="s">
        <v>76</v>
      </c>
      <c r="E348" s="5" t="str">
        <f>VLOOKUP(D348,Справочник!$D$2:$E$119,2,FALSE)</f>
        <v>Рабиев Илхомджон Бобочонович</v>
      </c>
      <c r="F348" s="2" t="s">
        <v>461</v>
      </c>
      <c r="G348" s="5" t="str">
        <f>VLOOKUP(F348,Справочник!$K$2:$L$245,2,FALSE)</f>
        <v>Младший аудитор</v>
      </c>
    </row>
    <row r="349" spans="1:7" ht="19.95" customHeight="1" x14ac:dyDescent="0.3">
      <c r="A349" s="6">
        <v>348</v>
      </c>
      <c r="B349" s="5" t="s">
        <v>77</v>
      </c>
      <c r="C349" s="5" t="str">
        <f>VLOOKUP(B349,Справочник!$A$2:$B$23,2,FALSE)</f>
        <v>Финансовый департамент</v>
      </c>
      <c r="D349" s="5" t="s">
        <v>79</v>
      </c>
      <c r="E349" s="7" t="str">
        <f>VLOOKUP(D349,Справочник!$D$2:$E$119,2,FALSE)</f>
        <v>Бабаджанов Бахромхон</v>
      </c>
      <c r="F349" s="2" t="s">
        <v>462</v>
      </c>
      <c r="G349" s="7" t="str">
        <f>VLOOKUP(F349,Справочник!$K$2:$L$245,2,FALSE)</f>
        <v>Бухгалтер 1 категории</v>
      </c>
    </row>
    <row r="350" spans="1:7" ht="19.95" customHeight="1" x14ac:dyDescent="0.3">
      <c r="A350" s="5">
        <v>349</v>
      </c>
      <c r="B350" s="5" t="s">
        <v>77</v>
      </c>
      <c r="C350" s="5" t="str">
        <f>VLOOKUP(B350,Справочник!$A$2:$B$23,2,FALSE)</f>
        <v>Финансовый департамент</v>
      </c>
      <c r="D350" s="5" t="s">
        <v>79</v>
      </c>
      <c r="E350" s="5" t="str">
        <f>VLOOKUP(D350,Справочник!$D$2:$E$119,2,FALSE)</f>
        <v>Бабаджанов Бахромхон</v>
      </c>
      <c r="F350" s="2" t="s">
        <v>463</v>
      </c>
      <c r="G350" s="5" t="str">
        <f>VLOOKUP(F350,Справочник!$K$2:$L$245,2,FALSE)</f>
        <v>Бухгалтер 2 категории</v>
      </c>
    </row>
    <row r="351" spans="1:7" ht="19.95" customHeight="1" x14ac:dyDescent="0.3">
      <c r="A351" s="6">
        <v>350</v>
      </c>
      <c r="B351" s="5" t="s">
        <v>77</v>
      </c>
      <c r="C351" s="5" t="str">
        <f>VLOOKUP(B351,Справочник!$A$2:$B$23,2,FALSE)</f>
        <v>Финансовый департамент</v>
      </c>
      <c r="D351" s="5" t="s">
        <v>79</v>
      </c>
      <c r="E351" s="7" t="str">
        <f>VLOOKUP(D351,Справочник!$D$2:$E$119,2,FALSE)</f>
        <v>Бабаджанов Бахромхон</v>
      </c>
      <c r="F351" s="2" t="s">
        <v>464</v>
      </c>
      <c r="G351" s="7" t="str">
        <f>VLOOKUP(F351,Справочник!$K$2:$L$245,2,FALSE)</f>
        <v>Бухгалтер 3 категории</v>
      </c>
    </row>
    <row r="352" spans="1:7" ht="19.95" customHeight="1" x14ac:dyDescent="0.3">
      <c r="A352" s="5">
        <v>351</v>
      </c>
      <c r="B352" s="5" t="s">
        <v>77</v>
      </c>
      <c r="C352" s="5" t="str">
        <f>VLOOKUP(B352,Справочник!$A$2:$B$23,2,FALSE)</f>
        <v>Финансовый департамент</v>
      </c>
      <c r="D352" s="5" t="s">
        <v>79</v>
      </c>
      <c r="E352" s="5" t="str">
        <f>VLOOKUP(D352,Справочник!$D$2:$E$119,2,FALSE)</f>
        <v>Бабаджанов Бахромхон</v>
      </c>
      <c r="F352" s="2" t="s">
        <v>465</v>
      </c>
      <c r="G352" s="5" t="str">
        <f>VLOOKUP(F352,Справочник!$K$2:$L$245,2,FALSE)</f>
        <v>Бухгалтер по учета заработной платы</v>
      </c>
    </row>
    <row r="353" spans="1:7" ht="19.95" customHeight="1" x14ac:dyDescent="0.3">
      <c r="A353" s="6">
        <v>352</v>
      </c>
      <c r="B353" s="5" t="s">
        <v>77</v>
      </c>
      <c r="C353" s="5" t="str">
        <f>VLOOKUP(B353,Справочник!$A$2:$B$23,2,FALSE)</f>
        <v>Финансовый департамент</v>
      </c>
      <c r="D353" s="5" t="s">
        <v>79</v>
      </c>
      <c r="E353" s="7" t="str">
        <f>VLOOKUP(D353,Справочник!$D$2:$E$119,2,FALSE)</f>
        <v>Бабаджанов Бахромхон</v>
      </c>
      <c r="F353" s="2" t="s">
        <v>315</v>
      </c>
      <c r="G353" s="7" t="str">
        <f>VLOOKUP(F353,Справочник!$K$2:$L$245,2,FALSE)</f>
        <v>Бухгалтер-операционист</v>
      </c>
    </row>
    <row r="354" spans="1:7" ht="19.95" customHeight="1" x14ac:dyDescent="0.3">
      <c r="A354" s="5">
        <v>353</v>
      </c>
      <c r="B354" s="5" t="s">
        <v>77</v>
      </c>
      <c r="C354" s="5" t="str">
        <f>VLOOKUP(B354,Справочник!$A$2:$B$23,2,FALSE)</f>
        <v>Финансовый департамент</v>
      </c>
      <c r="D354" s="5" t="s">
        <v>79</v>
      </c>
      <c r="E354" s="5" t="str">
        <f>VLOOKUP(D354,Справочник!$D$2:$E$119,2,FALSE)</f>
        <v>Бабаджанов Бахромхон</v>
      </c>
      <c r="F354" s="2" t="s">
        <v>466</v>
      </c>
      <c r="G354" s="5" t="str">
        <f>VLOOKUP(F354,Справочник!$K$2:$L$245,2,FALSE)</f>
        <v>Ведущий бухгалтер</v>
      </c>
    </row>
    <row r="355" spans="1:7" ht="19.95" customHeight="1" x14ac:dyDescent="0.3">
      <c r="A355" s="6">
        <v>354</v>
      </c>
      <c r="B355" s="5" t="s">
        <v>77</v>
      </c>
      <c r="C355" s="5" t="str">
        <f>VLOOKUP(B355,Справочник!$A$2:$B$23,2,FALSE)</f>
        <v>Финансовый департамент</v>
      </c>
      <c r="D355" s="5" t="s">
        <v>79</v>
      </c>
      <c r="E355" s="7" t="str">
        <f>VLOOKUP(D355,Справочник!$D$2:$E$119,2,FALSE)</f>
        <v>Бабаджанов Бахромхон</v>
      </c>
      <c r="F355" s="2" t="s">
        <v>467</v>
      </c>
      <c r="G355" s="7" t="str">
        <f>VLOOKUP(F355,Справочник!$K$2:$L$245,2,FALSE)</f>
        <v>Ведущий риск-аналитик</v>
      </c>
    </row>
    <row r="356" spans="1:7" ht="19.95" customHeight="1" x14ac:dyDescent="0.3">
      <c r="A356" s="5">
        <v>355</v>
      </c>
      <c r="B356" s="5" t="s">
        <v>77</v>
      </c>
      <c r="C356" s="5" t="str">
        <f>VLOOKUP(B356,Справочник!$A$2:$B$23,2,FALSE)</f>
        <v>Финансовый департамент</v>
      </c>
      <c r="D356" s="5" t="s">
        <v>79</v>
      </c>
      <c r="E356" s="5" t="str">
        <f>VLOOKUP(D356,Справочник!$D$2:$E$119,2,FALSE)</f>
        <v>Бабаджанов Бахромхон</v>
      </c>
      <c r="F356" s="2" t="s">
        <v>468</v>
      </c>
      <c r="G356" s="5" t="str">
        <f>VLOOKUP(F356,Справочник!$K$2:$L$245,2,FALSE)</f>
        <v>Ведущий риск-менеджер</v>
      </c>
    </row>
    <row r="357" spans="1:7" ht="19.95" customHeight="1" x14ac:dyDescent="0.3">
      <c r="A357" s="6">
        <v>356</v>
      </c>
      <c r="B357" s="5" t="s">
        <v>77</v>
      </c>
      <c r="C357" s="5" t="str">
        <f>VLOOKUP(B357,Справочник!$A$2:$B$23,2,FALSE)</f>
        <v>Финансовый департамент</v>
      </c>
      <c r="D357" s="5" t="s">
        <v>79</v>
      </c>
      <c r="E357" s="7" t="str">
        <f>VLOOKUP(D357,Справочник!$D$2:$E$119,2,FALSE)</f>
        <v>Бабаджанов Бахромхон</v>
      </c>
      <c r="F357" s="2" t="s">
        <v>469</v>
      </c>
      <c r="G357" s="7" t="str">
        <f>VLOOKUP(F357,Справочник!$K$2:$L$245,2,FALSE)</f>
        <v>Ведущий специалист по внутреннему контролю</v>
      </c>
    </row>
    <row r="358" spans="1:7" ht="19.95" customHeight="1" x14ac:dyDescent="0.3">
      <c r="A358" s="5">
        <v>357</v>
      </c>
      <c r="B358" s="5" t="s">
        <v>77</v>
      </c>
      <c r="C358" s="5" t="str">
        <f>VLOOKUP(B358,Справочник!$A$2:$B$23,2,FALSE)</f>
        <v>Финансовый департамент</v>
      </c>
      <c r="D358" s="5" t="s">
        <v>79</v>
      </c>
      <c r="E358" s="5" t="str">
        <f>VLOOKUP(D358,Справочник!$D$2:$E$119,2,FALSE)</f>
        <v>Бабаджанов Бахромхон</v>
      </c>
      <c r="F358" s="2" t="s">
        <v>470</v>
      </c>
      <c r="G358" s="5" t="str">
        <f>VLOOKUP(F358,Справочник!$K$2:$L$245,2,FALSE)</f>
        <v>Водитель - инкасатор</v>
      </c>
    </row>
    <row r="359" spans="1:7" ht="19.95" customHeight="1" x14ac:dyDescent="0.3">
      <c r="A359" s="6">
        <v>358</v>
      </c>
      <c r="B359" s="5" t="s">
        <v>77</v>
      </c>
      <c r="C359" s="5" t="str">
        <f>VLOOKUP(B359,Справочник!$A$2:$B$23,2,FALSE)</f>
        <v>Финансовый департамент</v>
      </c>
      <c r="D359" s="5" t="s">
        <v>79</v>
      </c>
      <c r="E359" s="7" t="str">
        <f>VLOOKUP(D359,Справочник!$D$2:$E$119,2,FALSE)</f>
        <v>Бабаджанов Бахромхон</v>
      </c>
      <c r="F359" s="2" t="s">
        <v>471</v>
      </c>
      <c r="G359" s="7" t="str">
        <f>VLOOKUP(F359,Справочник!$K$2:$L$245,2,FALSE)</f>
        <v>Выездной кассир</v>
      </c>
    </row>
    <row r="360" spans="1:7" ht="19.95" customHeight="1" x14ac:dyDescent="0.3">
      <c r="A360" s="5">
        <v>359</v>
      </c>
      <c r="B360" s="5" t="s">
        <v>77</v>
      </c>
      <c r="C360" s="5" t="str">
        <f>VLOOKUP(B360,Справочник!$A$2:$B$23,2,FALSE)</f>
        <v>Финансовый департамент</v>
      </c>
      <c r="D360" s="5" t="s">
        <v>79</v>
      </c>
      <c r="E360" s="5" t="str">
        <f>VLOOKUP(D360,Справочник!$D$2:$E$119,2,FALSE)</f>
        <v>Бабаджанов Бахромхон</v>
      </c>
      <c r="F360" s="2" t="s">
        <v>472</v>
      </c>
      <c r="G360" s="5" t="str">
        <f>VLOOKUP(F360,Справочник!$K$2:$L$245,2,FALSE)</f>
        <v>Главный бухгалтер</v>
      </c>
    </row>
    <row r="361" spans="1:7" ht="19.95" customHeight="1" x14ac:dyDescent="0.3">
      <c r="A361" s="6">
        <v>360</v>
      </c>
      <c r="B361" s="5" t="s">
        <v>77</v>
      </c>
      <c r="C361" s="5" t="str">
        <f>VLOOKUP(B361,Справочник!$A$2:$B$23,2,FALSE)</f>
        <v>Финансовый департамент</v>
      </c>
      <c r="D361" s="5" t="s">
        <v>79</v>
      </c>
      <c r="E361" s="7" t="str">
        <f>VLOOKUP(D361,Справочник!$D$2:$E$119,2,FALSE)</f>
        <v>Бабаджанов Бахромхон</v>
      </c>
      <c r="F361" s="2" t="s">
        <v>438</v>
      </c>
      <c r="G361" s="7" t="str">
        <f>VLOOKUP(F361,Справочник!$K$2:$L$245,2,FALSE)</f>
        <v>Заместитель руководителя департамента</v>
      </c>
    </row>
    <row r="362" spans="1:7" ht="19.95" customHeight="1" x14ac:dyDescent="0.3">
      <c r="A362" s="5">
        <v>361</v>
      </c>
      <c r="B362" s="5" t="s">
        <v>77</v>
      </c>
      <c r="C362" s="5" t="str">
        <f>VLOOKUP(B362,Справочник!$A$2:$B$23,2,FALSE)</f>
        <v>Финансовый департамент</v>
      </c>
      <c r="D362" s="5" t="s">
        <v>79</v>
      </c>
      <c r="E362" s="5" t="str">
        <f>VLOOKUP(D362,Справочник!$D$2:$E$119,2,FALSE)</f>
        <v>Бабаджанов Бахромхон</v>
      </c>
      <c r="F362" s="2" t="s">
        <v>473</v>
      </c>
      <c r="G362" s="5" t="str">
        <f>VLOOKUP(F362,Справочник!$K$2:$L$245,2,FALSE)</f>
        <v>Инкасатор</v>
      </c>
    </row>
    <row r="363" spans="1:7" ht="19.95" customHeight="1" x14ac:dyDescent="0.3">
      <c r="A363" s="6">
        <v>362</v>
      </c>
      <c r="B363" s="5" t="s">
        <v>77</v>
      </c>
      <c r="C363" s="5" t="str">
        <f>VLOOKUP(B363,Справочник!$A$2:$B$23,2,FALSE)</f>
        <v>Финансовый департамент</v>
      </c>
      <c r="D363" s="5" t="s">
        <v>79</v>
      </c>
      <c r="E363" s="7" t="str">
        <f>VLOOKUP(D363,Справочник!$D$2:$E$119,2,FALSE)</f>
        <v>Бабаджанов Бахромхон</v>
      </c>
      <c r="F363" s="2" t="s">
        <v>474</v>
      </c>
      <c r="G363" s="7" t="str">
        <f>VLOOKUP(F363,Справочник!$K$2:$L$245,2,FALSE)</f>
        <v>Кассир</v>
      </c>
    </row>
    <row r="364" spans="1:7" ht="19.95" customHeight="1" x14ac:dyDescent="0.3">
      <c r="A364" s="5">
        <v>363</v>
      </c>
      <c r="B364" s="5" t="s">
        <v>77</v>
      </c>
      <c r="C364" s="5" t="str">
        <f>VLOOKUP(B364,Справочник!$A$2:$B$23,2,FALSE)</f>
        <v>Финансовый департамент</v>
      </c>
      <c r="D364" s="5" t="s">
        <v>79</v>
      </c>
      <c r="E364" s="5" t="str">
        <f>VLOOKUP(D364,Справочник!$D$2:$E$119,2,FALSE)</f>
        <v>Бабаджанов Бахромхон</v>
      </c>
      <c r="F364" s="2" t="s">
        <v>475</v>
      </c>
      <c r="G364" s="5" t="str">
        <f>VLOOKUP(F364,Справочник!$K$2:$L$245,2,FALSE)</f>
        <v>Кассир-оператор</v>
      </c>
    </row>
    <row r="365" spans="1:7" ht="19.95" customHeight="1" x14ac:dyDescent="0.3">
      <c r="A365" s="6">
        <v>364</v>
      </c>
      <c r="B365" s="5" t="s">
        <v>77</v>
      </c>
      <c r="C365" s="5" t="str">
        <f>VLOOKUP(B365,Справочник!$A$2:$B$23,2,FALSE)</f>
        <v>Финансовый департамент</v>
      </c>
      <c r="D365" s="5" t="s">
        <v>79</v>
      </c>
      <c r="E365" s="7" t="str">
        <f>VLOOKUP(D365,Справочник!$D$2:$E$119,2,FALSE)</f>
        <v>Бабаджанов Бахромхон</v>
      </c>
      <c r="F365" s="2" t="s">
        <v>476</v>
      </c>
      <c r="G365" s="7" t="str">
        <f>VLOOKUP(F365,Справочник!$K$2:$L$245,2,FALSE)</f>
        <v>Координатор отдела</v>
      </c>
    </row>
    <row r="366" spans="1:7" ht="19.95" customHeight="1" x14ac:dyDescent="0.3">
      <c r="A366" s="5">
        <v>365</v>
      </c>
      <c r="B366" s="5" t="s">
        <v>77</v>
      </c>
      <c r="C366" s="5" t="str">
        <f>VLOOKUP(B366,Справочник!$A$2:$B$23,2,FALSE)</f>
        <v>Финансовый департамент</v>
      </c>
      <c r="D366" s="5" t="s">
        <v>79</v>
      </c>
      <c r="E366" s="5" t="str">
        <f>VLOOKUP(D366,Справочник!$D$2:$E$119,2,FALSE)</f>
        <v>Бабаджанов Бахромхон</v>
      </c>
      <c r="F366" s="2" t="s">
        <v>255</v>
      </c>
      <c r="G366" s="5" t="str">
        <f>VLOOKUP(F366,Справочник!$K$2:$L$245,2,FALSE)</f>
        <v>Начальник отдела</v>
      </c>
    </row>
    <row r="367" spans="1:7" ht="19.95" customHeight="1" x14ac:dyDescent="0.3">
      <c r="A367" s="6">
        <v>366</v>
      </c>
      <c r="B367" s="5" t="s">
        <v>77</v>
      </c>
      <c r="C367" s="5" t="str">
        <f>VLOOKUP(B367,Справочник!$A$2:$B$23,2,FALSE)</f>
        <v>Финансовый департамент</v>
      </c>
      <c r="D367" s="5" t="s">
        <v>79</v>
      </c>
      <c r="E367" s="7" t="str">
        <f>VLOOKUP(D367,Справочник!$D$2:$E$119,2,FALSE)</f>
        <v>Бабаджанов Бахромхон</v>
      </c>
      <c r="F367" s="2" t="s">
        <v>477</v>
      </c>
      <c r="G367" s="7" t="str">
        <f>VLOOKUP(F367,Справочник!$K$2:$L$245,2,FALSE)</f>
        <v>Риск-аналитик 1 категории</v>
      </c>
    </row>
    <row r="368" spans="1:7" ht="19.95" customHeight="1" x14ac:dyDescent="0.3">
      <c r="A368" s="5">
        <v>367</v>
      </c>
      <c r="B368" s="5" t="s">
        <v>77</v>
      </c>
      <c r="C368" s="5" t="str">
        <f>VLOOKUP(B368,Справочник!$A$2:$B$23,2,FALSE)</f>
        <v>Финансовый департамент</v>
      </c>
      <c r="D368" s="5" t="s">
        <v>79</v>
      </c>
      <c r="E368" s="5" t="str">
        <f>VLOOKUP(D368,Справочник!$D$2:$E$119,2,FALSE)</f>
        <v>Бабаджанов Бахромхон</v>
      </c>
      <c r="F368" s="2" t="s">
        <v>478</v>
      </c>
      <c r="G368" s="5" t="str">
        <f>VLOOKUP(F368,Справочник!$K$2:$L$245,2,FALSE)</f>
        <v>Риск-аналитик 2 категории</v>
      </c>
    </row>
    <row r="369" spans="1:7" ht="19.95" customHeight="1" x14ac:dyDescent="0.3">
      <c r="A369" s="6">
        <v>368</v>
      </c>
      <c r="B369" s="5" t="s">
        <v>77</v>
      </c>
      <c r="C369" s="5" t="str">
        <f>VLOOKUP(B369,Справочник!$A$2:$B$23,2,FALSE)</f>
        <v>Финансовый департамент</v>
      </c>
      <c r="D369" s="5" t="s">
        <v>79</v>
      </c>
      <c r="E369" s="7" t="str">
        <f>VLOOKUP(D369,Справочник!$D$2:$E$119,2,FALSE)</f>
        <v>Бабаджанов Бахромхон</v>
      </c>
      <c r="F369" s="2" t="s">
        <v>479</v>
      </c>
      <c r="G369" s="7" t="str">
        <f>VLOOKUP(F369,Справочник!$K$2:$L$245,2,FALSE)</f>
        <v>Риск-менеджер 1 категории</v>
      </c>
    </row>
    <row r="370" spans="1:7" ht="19.95" customHeight="1" x14ac:dyDescent="0.3">
      <c r="A370" s="5">
        <v>369</v>
      </c>
      <c r="B370" s="5" t="s">
        <v>77</v>
      </c>
      <c r="C370" s="5" t="str">
        <f>VLOOKUP(B370,Справочник!$A$2:$B$23,2,FALSE)</f>
        <v>Финансовый департамент</v>
      </c>
      <c r="D370" s="5" t="s">
        <v>79</v>
      </c>
      <c r="E370" s="5" t="str">
        <f>VLOOKUP(D370,Справочник!$D$2:$E$119,2,FALSE)</f>
        <v>Бабаджанов Бахромхон</v>
      </c>
      <c r="F370" s="2" t="s">
        <v>480</v>
      </c>
      <c r="G370" s="5" t="str">
        <f>VLOOKUP(F370,Справочник!$K$2:$L$245,2,FALSE)</f>
        <v>Риск-менеджер 2 категории</v>
      </c>
    </row>
    <row r="371" spans="1:7" ht="19.95" customHeight="1" x14ac:dyDescent="0.3">
      <c r="A371" s="6">
        <v>370</v>
      </c>
      <c r="B371" s="5" t="s">
        <v>77</v>
      </c>
      <c r="C371" s="5" t="str">
        <f>VLOOKUP(B371,Справочник!$A$2:$B$23,2,FALSE)</f>
        <v>Финансовый департамент</v>
      </c>
      <c r="D371" s="5" t="s">
        <v>79</v>
      </c>
      <c r="E371" s="7" t="str">
        <f>VLOOKUP(D371,Справочник!$D$2:$E$119,2,FALSE)</f>
        <v>Бабаджанов Бахромхон</v>
      </c>
      <c r="F371" s="2" t="s">
        <v>257</v>
      </c>
      <c r="G371" s="7" t="str">
        <f>VLOOKUP(F371,Справочник!$K$2:$L$245,2,FALSE)</f>
        <v>Руководитель</v>
      </c>
    </row>
    <row r="372" spans="1:7" ht="19.95" customHeight="1" x14ac:dyDescent="0.3">
      <c r="A372" s="5">
        <v>371</v>
      </c>
      <c r="B372" s="5" t="s">
        <v>77</v>
      </c>
      <c r="C372" s="5" t="str">
        <f>VLOOKUP(B372,Справочник!$A$2:$B$23,2,FALSE)</f>
        <v>Финансовый департамент</v>
      </c>
      <c r="D372" s="5" t="s">
        <v>79</v>
      </c>
      <c r="E372" s="5" t="str">
        <f>VLOOKUP(D372,Справочник!$D$2:$E$119,2,FALSE)</f>
        <v>Бабаджанов Бахромхон</v>
      </c>
      <c r="F372" s="2" t="s">
        <v>339</v>
      </c>
      <c r="G372" s="5" t="str">
        <f>VLOOKUP(F372,Справочник!$K$2:$L$245,2,FALSE)</f>
        <v>Руководитель департамента</v>
      </c>
    </row>
    <row r="373" spans="1:7" ht="19.95" customHeight="1" x14ac:dyDescent="0.3">
      <c r="A373" s="6">
        <v>372</v>
      </c>
      <c r="B373" s="5" t="s">
        <v>77</v>
      </c>
      <c r="C373" s="5" t="str">
        <f>VLOOKUP(B373,Справочник!$A$2:$B$23,2,FALSE)</f>
        <v>Финансовый департамент</v>
      </c>
      <c r="D373" s="5" t="s">
        <v>79</v>
      </c>
      <c r="E373" s="7" t="str">
        <f>VLOOKUP(D373,Справочник!$D$2:$E$119,2,FALSE)</f>
        <v>Бабаджанов Бахромхон</v>
      </c>
      <c r="F373" s="2" t="s">
        <v>332</v>
      </c>
      <c r="G373" s="7" t="str">
        <f>VLOOKUP(F373,Справочник!$K$2:$L$245,2,FALSE)</f>
        <v>Руководитель отдела</v>
      </c>
    </row>
    <row r="374" spans="1:7" ht="19.95" customHeight="1" x14ac:dyDescent="0.3">
      <c r="A374" s="5">
        <v>373</v>
      </c>
      <c r="B374" s="5" t="s">
        <v>77</v>
      </c>
      <c r="C374" s="5" t="str">
        <f>VLOOKUP(B374,Справочник!$A$2:$B$23,2,FALSE)</f>
        <v>Финансовый департамент</v>
      </c>
      <c r="D374" s="5" t="s">
        <v>79</v>
      </c>
      <c r="E374" s="5" t="str">
        <f>VLOOKUP(D374,Справочник!$D$2:$E$119,2,FALSE)</f>
        <v>Бабаджанов Бахромхон</v>
      </c>
      <c r="F374" s="2" t="s">
        <v>481</v>
      </c>
      <c r="G374" s="5" t="str">
        <f>VLOOKUP(F374,Справочник!$K$2:$L$245,2,FALSE)</f>
        <v>Руководитель отдела внутреннего контроля</v>
      </c>
    </row>
    <row r="375" spans="1:7" ht="19.95" customHeight="1" x14ac:dyDescent="0.3">
      <c r="A375" s="6">
        <v>374</v>
      </c>
      <c r="B375" s="5" t="s">
        <v>77</v>
      </c>
      <c r="C375" s="5" t="str">
        <f>VLOOKUP(B375,Справочник!$A$2:$B$23,2,FALSE)</f>
        <v>Финансовый департамент</v>
      </c>
      <c r="D375" s="5" t="s">
        <v>79</v>
      </c>
      <c r="E375" s="7" t="str">
        <f>VLOOKUP(D375,Справочник!$D$2:$E$119,2,FALSE)</f>
        <v>Бабаджанов Бахромхон</v>
      </c>
      <c r="F375" s="2" t="s">
        <v>482</v>
      </c>
      <c r="G375" s="7" t="str">
        <f>VLOOKUP(F375,Справочник!$K$2:$L$245,2,FALSE)</f>
        <v>Руководитель отдела мониторинга рисков</v>
      </c>
    </row>
    <row r="376" spans="1:7" ht="19.95" customHeight="1" x14ac:dyDescent="0.3">
      <c r="A376" s="5">
        <v>375</v>
      </c>
      <c r="B376" s="5" t="s">
        <v>77</v>
      </c>
      <c r="C376" s="5" t="str">
        <f>VLOOKUP(B376,Справочник!$A$2:$B$23,2,FALSE)</f>
        <v>Финансовый департамент</v>
      </c>
      <c r="D376" s="5" t="s">
        <v>79</v>
      </c>
      <c r="E376" s="5" t="str">
        <f>VLOOKUP(D376,Справочник!$D$2:$E$119,2,FALSE)</f>
        <v>Бабаджанов Бахромхон</v>
      </c>
      <c r="F376" s="2" t="s">
        <v>483</v>
      </c>
      <c r="G376" s="5" t="str">
        <f>VLOOKUP(F376,Справочник!$K$2:$L$245,2,FALSE)</f>
        <v>Руководитель отдела риск-аналитики</v>
      </c>
    </row>
    <row r="377" spans="1:7" ht="19.95" customHeight="1" x14ac:dyDescent="0.3">
      <c r="A377" s="6">
        <v>376</v>
      </c>
      <c r="B377" s="5" t="s">
        <v>77</v>
      </c>
      <c r="C377" s="5" t="str">
        <f>VLOOKUP(B377,Справочник!$A$2:$B$23,2,FALSE)</f>
        <v>Финансовый департамент</v>
      </c>
      <c r="D377" s="5" t="s">
        <v>79</v>
      </c>
      <c r="E377" s="7" t="str">
        <f>VLOOKUP(D377,Справочник!$D$2:$E$119,2,FALSE)</f>
        <v>Бабаджанов Бахромхон</v>
      </c>
      <c r="F377" s="2" t="s">
        <v>484</v>
      </c>
      <c r="G377" s="7" t="str">
        <f>VLOOKUP(F377,Справочник!$K$2:$L$245,2,FALSE)</f>
        <v>Руководитель управления</v>
      </c>
    </row>
    <row r="378" spans="1:7" ht="19.95" customHeight="1" x14ac:dyDescent="0.3">
      <c r="A378" s="5">
        <v>377</v>
      </c>
      <c r="B378" s="5" t="s">
        <v>77</v>
      </c>
      <c r="C378" s="5" t="str">
        <f>VLOOKUP(B378,Справочник!$A$2:$B$23,2,FALSE)</f>
        <v>Финансовый департамент</v>
      </c>
      <c r="D378" s="5" t="s">
        <v>79</v>
      </c>
      <c r="E378" s="5" t="str">
        <f>VLOOKUP(D378,Справочник!$D$2:$E$119,2,FALSE)</f>
        <v>Бабаджанов Бахромхон</v>
      </c>
      <c r="F378" s="2" t="s">
        <v>485</v>
      </c>
      <c r="G378" s="5" t="str">
        <f>VLOOKUP(F378,Справочник!$K$2:$L$245,2,FALSE)</f>
        <v>Специалист казначейства</v>
      </c>
    </row>
    <row r="379" spans="1:7" ht="19.95" customHeight="1" x14ac:dyDescent="0.3">
      <c r="A379" s="6">
        <v>378</v>
      </c>
      <c r="B379" s="5" t="s">
        <v>77</v>
      </c>
      <c r="C379" s="5" t="str">
        <f>VLOOKUP(B379,Справочник!$A$2:$B$23,2,FALSE)</f>
        <v>Финансовый департамент</v>
      </c>
      <c r="D379" s="5" t="s">
        <v>79</v>
      </c>
      <c r="E379" s="7" t="str">
        <f>VLOOKUP(D379,Справочник!$D$2:$E$119,2,FALSE)</f>
        <v>Бабаджанов Бахромхон</v>
      </c>
      <c r="F379" s="2" t="s">
        <v>486</v>
      </c>
      <c r="G379" s="7" t="str">
        <f>VLOOKUP(F379,Справочник!$K$2:$L$245,2,FALSE)</f>
        <v>Специалист по внутреннему контролю</v>
      </c>
    </row>
    <row r="380" spans="1:7" ht="34.049999999999997" customHeight="1" x14ac:dyDescent="0.3">
      <c r="A380" s="5">
        <v>379</v>
      </c>
      <c r="B380" s="5" t="s">
        <v>77</v>
      </c>
      <c r="C380" s="5" t="str">
        <f>VLOOKUP(B380,Справочник!$A$2:$B$23,2,FALSE)</f>
        <v>Финансовый департамент</v>
      </c>
      <c r="D380" s="5" t="s">
        <v>79</v>
      </c>
      <c r="E380" s="5" t="str">
        <f>VLOOKUP(D380,Справочник!$D$2:$E$119,2,FALSE)</f>
        <v>Бабаджанов Бахромхон</v>
      </c>
      <c r="F380" s="2" t="s">
        <v>487</v>
      </c>
      <c r="G380" s="5" t="str">
        <f>VLOOKUP(F380,Справочник!$K$2:$L$245,2,FALSE)</f>
        <v>Специалист по работе с проблемными задолженностями</v>
      </c>
    </row>
    <row r="381" spans="1:7" ht="19.95" customHeight="1" x14ac:dyDescent="0.3">
      <c r="A381" s="6">
        <v>380</v>
      </c>
      <c r="B381" s="5" t="s">
        <v>77</v>
      </c>
      <c r="C381" s="5" t="str">
        <f>VLOOKUP(B381,Справочник!$A$2:$B$23,2,FALSE)</f>
        <v>Финансовый департамент</v>
      </c>
      <c r="D381" s="5" t="s">
        <v>79</v>
      </c>
      <c r="E381" s="7" t="str">
        <f>VLOOKUP(D381,Справочник!$D$2:$E$119,2,FALSE)</f>
        <v>Бабаджанов Бахромхон</v>
      </c>
      <c r="F381" s="2" t="s">
        <v>488</v>
      </c>
      <c r="G381" s="7" t="str">
        <f>VLOOKUP(F381,Справочник!$K$2:$L$245,2,FALSE)</f>
        <v>Старший кассир</v>
      </c>
    </row>
    <row r="382" spans="1:7" ht="19.95" customHeight="1" x14ac:dyDescent="0.3">
      <c r="A382" s="5">
        <v>381</v>
      </c>
      <c r="B382" s="5" t="s">
        <v>77</v>
      </c>
      <c r="C382" s="5" t="str">
        <f>VLOOKUP(B382,Справочник!$A$2:$B$23,2,FALSE)</f>
        <v>Финансовый департамент</v>
      </c>
      <c r="D382" s="5" t="s">
        <v>79</v>
      </c>
      <c r="E382" s="5" t="str">
        <f>VLOOKUP(D382,Справочник!$D$2:$E$119,2,FALSE)</f>
        <v>Бабаджанов Бахромхон</v>
      </c>
      <c r="F382" s="2" t="s">
        <v>489</v>
      </c>
      <c r="G382" s="5" t="str">
        <f>VLOOKUP(F382,Справочник!$K$2:$L$245,2,FALSE)</f>
        <v>Старший риск-аналитик</v>
      </c>
    </row>
    <row r="383" spans="1:7" ht="19.95" customHeight="1" x14ac:dyDescent="0.3">
      <c r="A383" s="6">
        <v>382</v>
      </c>
      <c r="B383" s="5" t="s">
        <v>77</v>
      </c>
      <c r="C383" s="5" t="str">
        <f>VLOOKUP(B383,Справочник!$A$2:$B$23,2,FALSE)</f>
        <v>Финансовый департамент</v>
      </c>
      <c r="D383" s="5" t="s">
        <v>79</v>
      </c>
      <c r="E383" s="7" t="str">
        <f>VLOOKUP(D383,Справочник!$D$2:$E$119,2,FALSE)</f>
        <v>Бабаджанов Бахромхон</v>
      </c>
      <c r="F383" s="2" t="s">
        <v>490</v>
      </c>
      <c r="G383" s="7" t="str">
        <f>VLOOKUP(F383,Справочник!$K$2:$L$245,2,FALSE)</f>
        <v>Старший риск-менеджер</v>
      </c>
    </row>
    <row r="384" spans="1:7" ht="19.95" customHeight="1" x14ac:dyDescent="0.3">
      <c r="A384" s="5">
        <v>383</v>
      </c>
      <c r="B384" s="5" t="s">
        <v>77</v>
      </c>
      <c r="C384" s="5" t="str">
        <f>VLOOKUP(B384,Справочник!$A$2:$B$23,2,FALSE)</f>
        <v>Финансовый департамент</v>
      </c>
      <c r="D384" s="5" t="s">
        <v>79</v>
      </c>
      <c r="E384" s="5" t="str">
        <f>VLOOKUP(D384,Справочник!$D$2:$E$119,2,FALSE)</f>
        <v>Бабаджанов Бахромхон</v>
      </c>
      <c r="F384" s="2" t="s">
        <v>491</v>
      </c>
      <c r="G384" s="5" t="str">
        <f>VLOOKUP(F384,Справочник!$K$2:$L$245,2,FALSE)</f>
        <v>Экономист</v>
      </c>
    </row>
  </sheetData>
  <autoFilter ref="A1:G1" xr:uid="{00000000-0009-0000-0000-000002000000}"/>
  <pageMargins left="0.7" right="0.7" top="0.75" bottom="0.75" header="0.3" footer="0.3"/>
  <pageSetup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"/>
  <sheetViews>
    <sheetView zoomScaleNormal="100" workbookViewId="0">
      <pane ySplit="1" topLeftCell="A2" activePane="bottomLeft" state="frozen"/>
      <selection pane="bottomLeft" activeCell="G18" sqref="G18"/>
    </sheetView>
  </sheetViews>
  <sheetFormatPr defaultRowHeight="14.4" customHeight="1" x14ac:dyDescent="0.3"/>
  <cols>
    <col min="1" max="1" width="5" style="4" customWidth="1"/>
    <col min="2" max="2" width="14" style="4" customWidth="1"/>
    <col min="3" max="3" width="36" style="4" customWidth="1"/>
    <col min="4" max="4" width="14.33203125" style="4" bestFit="1" customWidth="1"/>
    <col min="5" max="5" width="30" style="4" customWidth="1"/>
    <col min="6" max="6" width="10" style="4" customWidth="1"/>
    <col min="7" max="7" width="55" style="4" customWidth="1"/>
    <col min="8" max="16384" width="8.88671875" style="4"/>
  </cols>
  <sheetData>
    <row r="1" spans="1:7" ht="30" customHeight="1" x14ac:dyDescent="0.3">
      <c r="A1" s="1" t="s">
        <v>0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</row>
    <row r="2" spans="1:7" ht="19.95" customHeight="1" x14ac:dyDescent="0.3">
      <c r="A2" s="5">
        <v>1</v>
      </c>
      <c r="B2" s="5" t="s">
        <v>498</v>
      </c>
      <c r="C2" s="5" t="str">
        <f>VLOOKUP(B2,Справочник!$D$2:$E$119,2,FALSE)</f>
        <v>Абдувахобов Абдували Абдуазизович</v>
      </c>
      <c r="D2" s="5" t="s">
        <v>499</v>
      </c>
      <c r="E2" s="5" t="s">
        <v>500</v>
      </c>
      <c r="F2" s="5" t="s">
        <v>501</v>
      </c>
      <c r="G2" s="5" t="s">
        <v>501</v>
      </c>
    </row>
    <row r="3" spans="1:7" ht="48" customHeight="1" x14ac:dyDescent="0.3">
      <c r="A3" s="6">
        <v>2</v>
      </c>
      <c r="B3" s="5" t="s">
        <v>73</v>
      </c>
      <c r="C3" s="6" t="str">
        <f>VLOOKUP(B3,Справочник!$D$2:$E$119,2,FALSE)</f>
        <v>Абдувохидов Чамшед Шарифчонович</v>
      </c>
      <c r="D3" s="5" t="s">
        <v>502</v>
      </c>
      <c r="E3" s="6" t="s">
        <v>503</v>
      </c>
      <c r="F3" s="7" t="s">
        <v>501</v>
      </c>
      <c r="G3" s="7" t="s">
        <v>501</v>
      </c>
    </row>
    <row r="4" spans="1:7" ht="19.95" customHeight="1" x14ac:dyDescent="0.3">
      <c r="A4" s="5">
        <v>3</v>
      </c>
      <c r="B4" s="5" t="s">
        <v>504</v>
      </c>
      <c r="C4" s="5" t="str">
        <f>VLOOKUP(B4,Справочник!$D$2:$E$119,2,FALSE)</f>
        <v>Абдуллоев Гуломчон Иномчонович</v>
      </c>
      <c r="D4" s="5" t="s">
        <v>505</v>
      </c>
      <c r="E4" s="5" t="s">
        <v>506</v>
      </c>
      <c r="F4" s="5" t="s">
        <v>501</v>
      </c>
      <c r="G4" s="5" t="s">
        <v>501</v>
      </c>
    </row>
    <row r="5" spans="1:7" ht="19.95" customHeight="1" x14ac:dyDescent="0.3">
      <c r="A5" s="6">
        <v>4</v>
      </c>
      <c r="B5" s="5" t="s">
        <v>507</v>
      </c>
      <c r="C5" s="6" t="str">
        <f>VLOOKUP(B5,Справочник!$D$2:$E$119,2,FALSE)</f>
        <v>Азимӣ Хусрав Аъзам</v>
      </c>
      <c r="D5" s="5" t="s">
        <v>508</v>
      </c>
      <c r="E5" s="6" t="s">
        <v>509</v>
      </c>
      <c r="F5" s="7" t="s">
        <v>501</v>
      </c>
      <c r="G5" s="7" t="s">
        <v>501</v>
      </c>
    </row>
    <row r="6" spans="1:7" ht="19.95" customHeight="1" x14ac:dyDescent="0.3">
      <c r="A6" s="5">
        <v>5</v>
      </c>
      <c r="B6" s="5" t="s">
        <v>510</v>
      </c>
      <c r="C6" s="5" t="str">
        <f>VLOOKUP(B6,Справочник!$D$2:$E$119,2,FALSE)</f>
        <v>Акрамов Мирзодаврон Хабибович</v>
      </c>
      <c r="D6" s="5" t="s">
        <v>505</v>
      </c>
      <c r="E6" s="5" t="s">
        <v>506</v>
      </c>
      <c r="F6" s="5" t="s">
        <v>501</v>
      </c>
      <c r="G6" s="5" t="s">
        <v>501</v>
      </c>
    </row>
    <row r="7" spans="1:7" ht="19.95" customHeight="1" x14ac:dyDescent="0.3">
      <c r="A7" s="6">
        <v>6</v>
      </c>
      <c r="B7" s="5" t="s">
        <v>55</v>
      </c>
      <c r="C7" s="6" t="str">
        <f>VLOOKUP(B7,Справочник!$D$2:$E$119,2,FALSE)</f>
        <v>Арипов Махсуд Махмудович</v>
      </c>
      <c r="D7" s="5" t="s">
        <v>511</v>
      </c>
      <c r="E7" s="6" t="s">
        <v>54</v>
      </c>
      <c r="F7" s="7" t="s">
        <v>501</v>
      </c>
      <c r="G7" s="7" t="s">
        <v>501</v>
      </c>
    </row>
    <row r="8" spans="1:7" ht="19.95" customHeight="1" x14ac:dyDescent="0.3">
      <c r="A8" s="5">
        <v>7</v>
      </c>
      <c r="B8" s="5" t="s">
        <v>49</v>
      </c>
      <c r="C8" s="5" t="str">
        <f>VLOOKUP(B8,Справочник!$D$2:$E$119,2,FALSE)</f>
        <v>Афанасьева Людмила Владимеровна</v>
      </c>
      <c r="D8" s="5" t="s">
        <v>512</v>
      </c>
      <c r="E8" s="5" t="s">
        <v>513</v>
      </c>
      <c r="F8" s="5" t="s">
        <v>501</v>
      </c>
      <c r="G8" s="5" t="s">
        <v>501</v>
      </c>
    </row>
    <row r="9" spans="1:7" ht="19.95" customHeight="1" x14ac:dyDescent="0.3">
      <c r="A9" s="6">
        <v>8</v>
      </c>
      <c r="B9" s="5" t="s">
        <v>39</v>
      </c>
      <c r="C9" s="6" t="str">
        <f>VLOOKUP(B9,Справочник!$D$2:$E$119,2,FALSE)</f>
        <v>Ахмедбоев Мубинчон Мукимчонович</v>
      </c>
      <c r="D9" s="5" t="s">
        <v>514</v>
      </c>
      <c r="E9" s="6" t="s">
        <v>515</v>
      </c>
      <c r="F9" s="7" t="s">
        <v>501</v>
      </c>
      <c r="G9" s="7" t="s">
        <v>501</v>
      </c>
    </row>
    <row r="10" spans="1:7" ht="19.95" customHeight="1" x14ac:dyDescent="0.3">
      <c r="A10" s="5">
        <v>9</v>
      </c>
      <c r="B10" s="5" t="s">
        <v>516</v>
      </c>
      <c r="C10" s="5" t="str">
        <f>VLOOKUP(B10,Справочник!$D$2:$E$119,2,FALSE)</f>
        <v>Ахмедов Дилшод Гафурович</v>
      </c>
      <c r="D10" s="5" t="s">
        <v>517</v>
      </c>
      <c r="E10" s="5" t="s">
        <v>78</v>
      </c>
      <c r="F10" s="5" t="s">
        <v>501</v>
      </c>
      <c r="G10" s="5" t="s">
        <v>501</v>
      </c>
    </row>
    <row r="11" spans="1:7" ht="19.95" customHeight="1" x14ac:dyDescent="0.3">
      <c r="A11" s="6">
        <v>10</v>
      </c>
      <c r="B11" s="5" t="s">
        <v>34</v>
      </c>
      <c r="C11" s="6" t="str">
        <f>VLOOKUP(B11,Справочник!$D$2:$E$119,2,FALSE)</f>
        <v>Ахроров Ахрорхон Аълохонович</v>
      </c>
      <c r="D11" s="5" t="s">
        <v>508</v>
      </c>
      <c r="E11" s="6" t="s">
        <v>509</v>
      </c>
      <c r="F11" s="7" t="s">
        <v>501</v>
      </c>
      <c r="G11" s="7" t="s">
        <v>501</v>
      </c>
    </row>
    <row r="12" spans="1:7" ht="19.95" customHeight="1" x14ac:dyDescent="0.3">
      <c r="A12" s="5">
        <v>11</v>
      </c>
      <c r="B12" s="5" t="s">
        <v>518</v>
      </c>
      <c r="C12" s="5" t="str">
        <f>VLOOKUP(B12,Справочник!$D$2:$E$119,2,FALSE)</f>
        <v>Ашуров Азимчон</v>
      </c>
      <c r="D12" s="5" t="s">
        <v>514</v>
      </c>
      <c r="E12" s="5" t="s">
        <v>515</v>
      </c>
      <c r="F12" s="5" t="s">
        <v>501</v>
      </c>
      <c r="G12" s="5" t="s">
        <v>501</v>
      </c>
    </row>
    <row r="13" spans="1:7" ht="19.95" customHeight="1" x14ac:dyDescent="0.3">
      <c r="A13" s="6">
        <v>12</v>
      </c>
      <c r="B13" s="5" t="s">
        <v>519</v>
      </c>
      <c r="C13" s="6" t="str">
        <f>VLOOKUP(B13,Справочник!$D$2:$E$119,2,FALSE)</f>
        <v>Аюбова Зарриначон Комиловна</v>
      </c>
      <c r="D13" s="5" t="s">
        <v>517</v>
      </c>
      <c r="E13" s="6" t="s">
        <v>78</v>
      </c>
      <c r="F13" s="7" t="s">
        <v>501</v>
      </c>
      <c r="G13" s="7" t="s">
        <v>501</v>
      </c>
    </row>
    <row r="14" spans="1:7" ht="19.95" customHeight="1" x14ac:dyDescent="0.3">
      <c r="A14" s="5">
        <v>13</v>
      </c>
      <c r="B14" s="5" t="s">
        <v>79</v>
      </c>
      <c r="C14" s="5" t="str">
        <f>VLOOKUP(B14,Справочник!$D$2:$E$119,2,FALSE)</f>
        <v>Бабаджанов Бахромхон</v>
      </c>
      <c r="D14" s="5" t="s">
        <v>517</v>
      </c>
      <c r="E14" s="5" t="s">
        <v>78</v>
      </c>
      <c r="F14" s="5" t="s">
        <v>501</v>
      </c>
      <c r="G14" s="5" t="s">
        <v>501</v>
      </c>
    </row>
    <row r="15" spans="1:7" ht="48" customHeight="1" x14ac:dyDescent="0.3">
      <c r="A15" s="6">
        <v>14</v>
      </c>
      <c r="B15" s="5" t="s">
        <v>520</v>
      </c>
      <c r="C15" s="6" t="str">
        <f>VLOOKUP(B15,Справочник!$D$2:$E$119,2,FALSE)</f>
        <v>Бакоев Мирзокодир Хабибович</v>
      </c>
      <c r="D15" s="5" t="s">
        <v>502</v>
      </c>
      <c r="E15" s="6" t="s">
        <v>503</v>
      </c>
      <c r="F15" s="7" t="s">
        <v>501</v>
      </c>
      <c r="G15" s="7" t="s">
        <v>501</v>
      </c>
    </row>
    <row r="16" spans="1:7" ht="19.95" customHeight="1" x14ac:dyDescent="0.3">
      <c r="A16" s="5">
        <v>15</v>
      </c>
      <c r="B16" s="5" t="s">
        <v>521</v>
      </c>
      <c r="C16" s="5" t="str">
        <f>VLOOKUP(B16,Справочник!$D$2:$E$119,2,FALSE)</f>
        <v>Баходурова Сулхия Азизхочаевна</v>
      </c>
      <c r="D16" s="5" t="s">
        <v>508</v>
      </c>
      <c r="E16" s="5" t="s">
        <v>509</v>
      </c>
      <c r="F16" s="5" t="s">
        <v>501</v>
      </c>
      <c r="G16" s="5" t="s">
        <v>501</v>
      </c>
    </row>
    <row r="17" spans="1:7" ht="19.95" customHeight="1" x14ac:dyDescent="0.3">
      <c r="A17" s="5">
        <v>16</v>
      </c>
      <c r="B17" s="5" t="s">
        <v>522</v>
      </c>
      <c r="C17" s="5" t="str">
        <f>VLOOKUP(B17,Справочник!$D$2:$E$119,2,FALSE)</f>
        <v>Бобоев Равшан Анварович</v>
      </c>
      <c r="D17" s="5" t="s">
        <v>499</v>
      </c>
      <c r="E17" s="5" t="s">
        <v>500</v>
      </c>
      <c r="F17" s="5" t="s">
        <v>501</v>
      </c>
      <c r="G17" s="7" t="s">
        <v>501</v>
      </c>
    </row>
    <row r="18" spans="1:7" ht="19.95" customHeight="1" x14ac:dyDescent="0.3">
      <c r="A18" s="5">
        <v>17</v>
      </c>
      <c r="B18" s="5" t="s">
        <v>523</v>
      </c>
      <c r="C18" s="5" t="str">
        <f>VLOOKUP(B18,Справочник!$D$2:$E$119,2,FALSE)</f>
        <v>Бобохонов Аслидин Муталлибович</v>
      </c>
      <c r="D18" s="5" t="s">
        <v>517</v>
      </c>
      <c r="E18" s="5" t="s">
        <v>78</v>
      </c>
      <c r="F18" s="5" t="s">
        <v>501</v>
      </c>
      <c r="G18" s="5" t="s">
        <v>501</v>
      </c>
    </row>
    <row r="19" spans="1:7" ht="19.95" customHeight="1" x14ac:dyDescent="0.3">
      <c r="A19" s="6">
        <v>18</v>
      </c>
      <c r="B19" s="5" t="s">
        <v>524</v>
      </c>
      <c r="C19" s="6" t="str">
        <f>VLOOKUP(B19,Справочник!$D$2:$E$119,2,FALSE)</f>
        <v>Бобохонов Мухаммадшариф</v>
      </c>
      <c r="D19" s="5" t="s">
        <v>499</v>
      </c>
      <c r="E19" s="6" t="s">
        <v>500</v>
      </c>
      <c r="F19" s="7" t="s">
        <v>501</v>
      </c>
      <c r="G19" s="7" t="s">
        <v>501</v>
      </c>
    </row>
    <row r="20" spans="1:7" ht="19.95" customHeight="1" x14ac:dyDescent="0.3">
      <c r="A20" s="5">
        <v>19</v>
      </c>
      <c r="B20" s="5" t="s">
        <v>525</v>
      </c>
      <c r="C20" s="5" t="str">
        <f>VLOOKUP(B20,Справочник!$D$2:$E$119,2,FALSE)</f>
        <v>Бобочонов Баходур</v>
      </c>
      <c r="D20" s="5" t="s">
        <v>501</v>
      </c>
      <c r="E20" s="5" t="s">
        <v>526</v>
      </c>
      <c r="F20" s="5" t="s">
        <v>501</v>
      </c>
      <c r="G20" s="5" t="s">
        <v>501</v>
      </c>
    </row>
    <row r="21" spans="1:7" ht="61.95" customHeight="1" x14ac:dyDescent="0.3">
      <c r="A21" s="6">
        <v>20</v>
      </c>
      <c r="B21" s="5" t="s">
        <v>527</v>
      </c>
      <c r="C21" s="6" t="str">
        <f>VLOOKUP(B21,Справочник!$D$2:$E$119,2,FALSE)</f>
        <v>Бобочонов Назар Орифчонович</v>
      </c>
      <c r="D21" s="5" t="s">
        <v>528</v>
      </c>
      <c r="E21" s="6" t="s">
        <v>529</v>
      </c>
      <c r="F21" s="7" t="s">
        <v>501</v>
      </c>
      <c r="G21" s="7" t="s">
        <v>501</v>
      </c>
    </row>
    <row r="22" spans="1:7" ht="34.049999999999997" customHeight="1" x14ac:dyDescent="0.3">
      <c r="A22" s="5">
        <v>21</v>
      </c>
      <c r="B22" s="5" t="s">
        <v>17</v>
      </c>
      <c r="C22" s="5" t="str">
        <f>VLOOKUP(B22,Справочник!$D$2:$E$119,2,FALSE)</f>
        <v>Боев Иброхимчон Далерович</v>
      </c>
      <c r="D22" s="5" t="s">
        <v>530</v>
      </c>
      <c r="E22" s="5" t="s">
        <v>531</v>
      </c>
      <c r="F22" s="5" t="s">
        <v>7</v>
      </c>
      <c r="G22" s="5" t="s">
        <v>501</v>
      </c>
    </row>
    <row r="23" spans="1:7" ht="19.95" customHeight="1" x14ac:dyDescent="0.3">
      <c r="A23" s="6">
        <v>22</v>
      </c>
      <c r="B23" s="5" t="s">
        <v>532</v>
      </c>
      <c r="C23" s="6" t="str">
        <f>VLOOKUP(B23,Справочник!$D$2:$E$119,2,FALSE)</f>
        <v>Бузуруков Хуршед Аточонович</v>
      </c>
      <c r="D23" s="5" t="s">
        <v>533</v>
      </c>
      <c r="E23" s="6" t="s">
        <v>534</v>
      </c>
      <c r="F23" s="7" t="s">
        <v>501</v>
      </c>
      <c r="G23" s="7" t="s">
        <v>501</v>
      </c>
    </row>
    <row r="24" spans="1:7" ht="19.95" customHeight="1" x14ac:dyDescent="0.3">
      <c r="A24" s="5">
        <v>23</v>
      </c>
      <c r="B24" s="5" t="s">
        <v>46</v>
      </c>
      <c r="C24" s="5" t="str">
        <f>VLOOKUP(B24,Справочник!$D$2:$E$119,2,FALSE)</f>
        <v>Валиев Максудчон Абдуганиевич</v>
      </c>
      <c r="D24" s="5" t="s">
        <v>535</v>
      </c>
      <c r="E24" s="5" t="s">
        <v>536</v>
      </c>
      <c r="F24" s="5" t="s">
        <v>501</v>
      </c>
      <c r="G24" s="5" t="s">
        <v>501</v>
      </c>
    </row>
    <row r="25" spans="1:7" ht="19.95" customHeight="1" x14ac:dyDescent="0.3">
      <c r="A25" s="6">
        <v>24</v>
      </c>
      <c r="B25" s="5" t="s">
        <v>537</v>
      </c>
      <c r="C25" s="6" t="str">
        <f>VLOOKUP(B25,Справочник!$D$2:$E$119,2,FALSE)</f>
        <v>Вохидов Маъруфчон Мавлонович</v>
      </c>
      <c r="D25" s="5" t="s">
        <v>538</v>
      </c>
      <c r="E25" s="6" t="s">
        <v>539</v>
      </c>
      <c r="F25" s="7" t="s">
        <v>501</v>
      </c>
      <c r="G25" s="7" t="s">
        <v>501</v>
      </c>
    </row>
    <row r="26" spans="1:7" ht="19.95" customHeight="1" x14ac:dyDescent="0.3">
      <c r="A26" s="5">
        <v>25</v>
      </c>
      <c r="B26" s="5" t="s">
        <v>540</v>
      </c>
      <c r="C26" s="5" t="str">
        <f>VLOOKUP(B26,Справочник!$D$2:$E$119,2,FALSE)</f>
        <v>Гафуров Хайрулло Кахорович</v>
      </c>
      <c r="D26" s="5" t="s">
        <v>514</v>
      </c>
      <c r="E26" s="5" t="s">
        <v>515</v>
      </c>
      <c r="F26" s="5" t="s">
        <v>501</v>
      </c>
      <c r="G26" s="5" t="s">
        <v>501</v>
      </c>
    </row>
    <row r="27" spans="1:7" ht="19.95" customHeight="1" x14ac:dyDescent="0.3">
      <c r="A27" s="6">
        <v>26</v>
      </c>
      <c r="B27" s="5" t="s">
        <v>541</v>
      </c>
      <c r="C27" s="6" t="str">
        <f>VLOOKUP(B27,Справочник!$D$2:$E$119,2,FALSE)</f>
        <v>Гоибов Дадочон Бахтиёрович</v>
      </c>
      <c r="D27" s="5" t="s">
        <v>542</v>
      </c>
      <c r="E27" s="6" t="s">
        <v>543</v>
      </c>
      <c r="F27" s="7" t="s">
        <v>501</v>
      </c>
      <c r="G27" s="7" t="s">
        <v>501</v>
      </c>
    </row>
    <row r="28" spans="1:7" ht="19.95" customHeight="1" x14ac:dyDescent="0.3">
      <c r="A28" s="5">
        <v>27</v>
      </c>
      <c r="B28" s="5" t="s">
        <v>544</v>
      </c>
      <c r="C28" s="5" t="str">
        <f>VLOOKUP(B28,Справочник!$D$2:$E$119,2,FALSE)</f>
        <v>Денис Салин Александрович</v>
      </c>
      <c r="D28" s="5" t="s">
        <v>512</v>
      </c>
      <c r="E28" s="5" t="s">
        <v>513</v>
      </c>
      <c r="F28" s="5" t="s">
        <v>501</v>
      </c>
      <c r="G28" s="5" t="s">
        <v>501</v>
      </c>
    </row>
    <row r="29" spans="1:7" ht="19.95" customHeight="1" x14ac:dyDescent="0.3">
      <c r="A29" s="6">
        <v>28</v>
      </c>
      <c r="B29" s="5" t="s">
        <v>545</v>
      </c>
      <c r="C29" s="6" t="str">
        <f>VLOOKUP(B29,Справочник!$D$2:$E$119,2,FALSE)</f>
        <v>Заболотный Дмитрий</v>
      </c>
      <c r="D29" s="5" t="s">
        <v>499</v>
      </c>
      <c r="E29" s="6" t="s">
        <v>500</v>
      </c>
      <c r="F29" s="7" t="s">
        <v>501</v>
      </c>
      <c r="G29" s="7" t="s">
        <v>501</v>
      </c>
    </row>
    <row r="30" spans="1:7" ht="19.95" customHeight="1" x14ac:dyDescent="0.3">
      <c r="A30" s="5">
        <v>29</v>
      </c>
      <c r="B30" s="5" t="s">
        <v>546</v>
      </c>
      <c r="C30" s="5" t="str">
        <f>VLOOKUP(B30,Справочник!$D$2:$E$119,2,FALSE)</f>
        <v>Зарифи Мирзобаховаддин Мусозода</v>
      </c>
      <c r="D30" s="5" t="s">
        <v>505</v>
      </c>
      <c r="E30" s="5" t="s">
        <v>506</v>
      </c>
      <c r="F30" s="5" t="s">
        <v>501</v>
      </c>
      <c r="G30" s="5" t="s">
        <v>501</v>
      </c>
    </row>
    <row r="31" spans="1:7" ht="19.95" customHeight="1" x14ac:dyDescent="0.3">
      <c r="A31" s="6">
        <v>30</v>
      </c>
      <c r="B31" s="5" t="s">
        <v>547</v>
      </c>
      <c r="C31" s="6" t="str">
        <f>VLOOKUP(B31,Справочник!$D$2:$E$119,2,FALSE)</f>
        <v>Зикруллаев Рахимхон</v>
      </c>
      <c r="D31" s="5" t="s">
        <v>517</v>
      </c>
      <c r="E31" s="6" t="s">
        <v>78</v>
      </c>
      <c r="F31" s="7" t="s">
        <v>501</v>
      </c>
      <c r="G31" s="7" t="s">
        <v>501</v>
      </c>
    </row>
    <row r="32" spans="1:7" ht="19.95" customHeight="1" x14ac:dyDescent="0.3">
      <c r="A32" s="5">
        <v>31</v>
      </c>
      <c r="B32" s="5" t="s">
        <v>548</v>
      </c>
      <c r="C32" s="5" t="str">
        <f>VLOOKUP(B32,Справочник!$D$2:$E$119,2,FALSE)</f>
        <v>Зоидов Аъзамчон Акрамович</v>
      </c>
      <c r="D32" s="5" t="s">
        <v>517</v>
      </c>
      <c r="E32" s="5" t="s">
        <v>78</v>
      </c>
      <c r="F32" s="5" t="s">
        <v>501</v>
      </c>
      <c r="G32" s="5" t="s">
        <v>501</v>
      </c>
    </row>
    <row r="33" spans="1:7" ht="34.049999999999997" customHeight="1" x14ac:dyDescent="0.3">
      <c r="A33" s="6">
        <v>32</v>
      </c>
      <c r="B33" s="5" t="s">
        <v>13</v>
      </c>
      <c r="C33" s="6" t="str">
        <f>VLOOKUP(B33,Справочник!$D$2:$E$119,2,FALSE)</f>
        <v>Зокирова Зебочон Абдуазимовна</v>
      </c>
      <c r="D33" s="5" t="s">
        <v>530</v>
      </c>
      <c r="E33" s="6" t="s">
        <v>531</v>
      </c>
      <c r="F33" s="7" t="s">
        <v>7</v>
      </c>
      <c r="G33" s="7" t="s">
        <v>501</v>
      </c>
    </row>
    <row r="34" spans="1:7" ht="19.95" customHeight="1" x14ac:dyDescent="0.3">
      <c r="A34" s="5">
        <v>33</v>
      </c>
      <c r="B34" s="5" t="s">
        <v>549</v>
      </c>
      <c r="C34" s="5" t="str">
        <f>VLOOKUP(B34,Справочник!$D$2:$E$119,2,FALSE)</f>
        <v>Ибодуллоев Фаридун Умарович</v>
      </c>
      <c r="D34" s="5" t="s">
        <v>538</v>
      </c>
      <c r="E34" s="5" t="s">
        <v>539</v>
      </c>
      <c r="F34" s="5" t="s">
        <v>501</v>
      </c>
      <c r="G34" s="5" t="s">
        <v>501</v>
      </c>
    </row>
    <row r="35" spans="1:7" ht="19.95" customHeight="1" x14ac:dyDescent="0.3">
      <c r="A35" s="6">
        <v>34</v>
      </c>
      <c r="B35" s="5" t="s">
        <v>61</v>
      </c>
      <c r="C35" s="6" t="str">
        <f>VLOOKUP(B35,Справочник!$D$2:$E$119,2,FALSE)</f>
        <v>Искандаров Хайрулло Абдуллоевич</v>
      </c>
      <c r="D35" s="5" t="s">
        <v>533</v>
      </c>
      <c r="E35" s="6" t="s">
        <v>534</v>
      </c>
      <c r="F35" s="7" t="s">
        <v>501</v>
      </c>
      <c r="G35" s="7" t="s">
        <v>501</v>
      </c>
    </row>
    <row r="36" spans="1:7" ht="19.95" customHeight="1" x14ac:dyDescent="0.3">
      <c r="A36" s="5">
        <v>35</v>
      </c>
      <c r="B36" s="5" t="s">
        <v>12</v>
      </c>
      <c r="C36" s="5" t="str">
        <f>VLOOKUP(B36,Справочник!$D$2:$E$119,2,FALSE)</f>
        <v>Исломов Чамшед Абдукахорович</v>
      </c>
      <c r="D36" s="5" t="s">
        <v>550</v>
      </c>
      <c r="E36" s="5" t="s">
        <v>11</v>
      </c>
      <c r="F36" s="5" t="s">
        <v>501</v>
      </c>
      <c r="G36" s="5" t="s">
        <v>501</v>
      </c>
    </row>
    <row r="37" spans="1:7" ht="19.95" customHeight="1" x14ac:dyDescent="0.3">
      <c r="A37" s="6">
        <v>36</v>
      </c>
      <c r="B37" s="5" t="s">
        <v>551</v>
      </c>
      <c r="C37" s="6" t="str">
        <f>VLOOKUP(B37,Справочник!$D$2:$E$119,2,FALSE)</f>
        <v>Исоматдинов Сайдулло Хабибуллоевич</v>
      </c>
      <c r="D37" s="5" t="s">
        <v>538</v>
      </c>
      <c r="E37" s="6" t="s">
        <v>539</v>
      </c>
      <c r="F37" s="7" t="s">
        <v>501</v>
      </c>
      <c r="G37" s="7" t="s">
        <v>501</v>
      </c>
    </row>
    <row r="38" spans="1:7" ht="19.95" customHeight="1" x14ac:dyDescent="0.3">
      <c r="A38" s="5">
        <v>37</v>
      </c>
      <c r="B38" s="5" t="s">
        <v>552</v>
      </c>
      <c r="C38" s="5" t="str">
        <f>VLOOKUP(B38,Справочник!$D$2:$E$119,2,FALSE)</f>
        <v>Каримов Мансурчон Рахимчонович</v>
      </c>
      <c r="D38" s="5" t="s">
        <v>538</v>
      </c>
      <c r="E38" s="5" t="s">
        <v>539</v>
      </c>
      <c r="F38" s="5" t="s">
        <v>501</v>
      </c>
      <c r="G38" s="5" t="s">
        <v>501</v>
      </c>
    </row>
    <row r="39" spans="1:7" ht="19.95" customHeight="1" x14ac:dyDescent="0.3">
      <c r="A39" s="6">
        <v>38</v>
      </c>
      <c r="B39" s="5" t="s">
        <v>553</v>
      </c>
      <c r="C39" s="6" t="str">
        <f>VLOOKUP(B39,Справочник!$D$2:$E$119,2,FALSE)</f>
        <v>Кахоров Абдуманнон Абдукосимович</v>
      </c>
      <c r="D39" s="5" t="s">
        <v>517</v>
      </c>
      <c r="E39" s="6" t="s">
        <v>78</v>
      </c>
      <c r="F39" s="7" t="s">
        <v>501</v>
      </c>
      <c r="G39" s="7" t="s">
        <v>501</v>
      </c>
    </row>
    <row r="40" spans="1:7" ht="34.049999999999997" customHeight="1" x14ac:dyDescent="0.3">
      <c r="A40" s="5">
        <v>39</v>
      </c>
      <c r="B40" s="5" t="s">
        <v>554</v>
      </c>
      <c r="C40" s="5" t="str">
        <f>VLOOKUP(B40,Справочник!$D$2:$E$119,2,FALSE)</f>
        <v>Кенчаев Эминчон Абдуразокович</v>
      </c>
      <c r="D40" s="5" t="s">
        <v>555</v>
      </c>
      <c r="E40" s="5" t="s">
        <v>556</v>
      </c>
      <c r="F40" s="5" t="s">
        <v>501</v>
      </c>
      <c r="G40" s="5" t="s">
        <v>501</v>
      </c>
    </row>
    <row r="41" spans="1:7" ht="34.049999999999997" customHeight="1" x14ac:dyDescent="0.3">
      <c r="A41" s="6">
        <v>40</v>
      </c>
      <c r="B41" s="5" t="s">
        <v>21</v>
      </c>
      <c r="C41" s="6" t="str">
        <f>VLOOKUP(B41,Справочник!$D$2:$E$119,2,FALSE)</f>
        <v>Кодиров Камолчон Насимчонович</v>
      </c>
      <c r="D41" s="5" t="s">
        <v>530</v>
      </c>
      <c r="E41" s="6" t="s">
        <v>531</v>
      </c>
      <c r="F41" s="7" t="s">
        <v>7</v>
      </c>
      <c r="G41" s="7" t="s">
        <v>501</v>
      </c>
    </row>
    <row r="42" spans="1:7" ht="19.95" customHeight="1" x14ac:dyDescent="0.3">
      <c r="A42" s="5">
        <v>41</v>
      </c>
      <c r="B42" s="5" t="s">
        <v>557</v>
      </c>
      <c r="C42" s="5" t="str">
        <f>VLOOKUP(B42,Справочник!$D$2:$E$119,2,FALSE)</f>
        <v>Косимов Умедчон Гуфрончонович</v>
      </c>
      <c r="D42" s="5" t="s">
        <v>517</v>
      </c>
      <c r="E42" s="5" t="s">
        <v>78</v>
      </c>
      <c r="F42" s="5" t="s">
        <v>501</v>
      </c>
      <c r="G42" s="5" t="s">
        <v>501</v>
      </c>
    </row>
    <row r="43" spans="1:7" ht="19.95" customHeight="1" x14ac:dyDescent="0.3">
      <c r="A43" s="6">
        <v>42</v>
      </c>
      <c r="B43" s="5" t="s">
        <v>558</v>
      </c>
      <c r="C43" s="6" t="str">
        <f>VLOOKUP(B43,Справочник!$D$2:$E$119,2,FALSE)</f>
        <v>Кучкоров Икром Ильхомжонович</v>
      </c>
      <c r="D43" s="5" t="s">
        <v>508</v>
      </c>
      <c r="E43" s="6" t="s">
        <v>509</v>
      </c>
      <c r="F43" s="7" t="s">
        <v>501</v>
      </c>
      <c r="G43" s="7" t="s">
        <v>501</v>
      </c>
    </row>
    <row r="44" spans="1:7" ht="19.95" customHeight="1" x14ac:dyDescent="0.3">
      <c r="A44" s="5">
        <v>43</v>
      </c>
      <c r="B44" s="5" t="s">
        <v>559</v>
      </c>
      <c r="C44" s="5" t="str">
        <f>VLOOKUP(B44,Справочник!$D$2:$E$119,2,FALSE)</f>
        <v>Мавлонов Шавкат Абдумаликович</v>
      </c>
      <c r="D44" s="5" t="s">
        <v>508</v>
      </c>
      <c r="E44" s="5" t="s">
        <v>509</v>
      </c>
      <c r="F44" s="5" t="s">
        <v>501</v>
      </c>
      <c r="G44" s="5" t="s">
        <v>501</v>
      </c>
    </row>
    <row r="45" spans="1:7" ht="19.95" customHeight="1" x14ac:dyDescent="0.3">
      <c r="A45" s="6">
        <v>44</v>
      </c>
      <c r="B45" s="5" t="s">
        <v>560</v>
      </c>
      <c r="C45" s="6" t="str">
        <f>VLOOKUP(B45,Справочник!$D$2:$E$119,2,FALSE)</f>
        <v>Мавлонов Шахзод Абдумаликович</v>
      </c>
      <c r="D45" s="5" t="s">
        <v>517</v>
      </c>
      <c r="E45" s="6" t="s">
        <v>78</v>
      </c>
      <c r="F45" s="7" t="s">
        <v>501</v>
      </c>
      <c r="G45" s="7" t="s">
        <v>501</v>
      </c>
    </row>
    <row r="46" spans="1:7" ht="34.049999999999997" customHeight="1" x14ac:dyDescent="0.3">
      <c r="A46" s="5">
        <v>45</v>
      </c>
      <c r="B46" s="5" t="s">
        <v>561</v>
      </c>
      <c r="C46" s="5" t="str">
        <f>VLOOKUP(B46,Справочник!$D$2:$E$119,2,FALSE)</f>
        <v>Мамадчонов Бахром Махмудчонович</v>
      </c>
      <c r="D46" s="5" t="s">
        <v>505</v>
      </c>
      <c r="E46" s="5" t="s">
        <v>23</v>
      </c>
      <c r="F46" s="5" t="s">
        <v>501</v>
      </c>
      <c r="G46" s="5" t="s">
        <v>501</v>
      </c>
    </row>
    <row r="47" spans="1:7" ht="48" customHeight="1" x14ac:dyDescent="0.3">
      <c r="A47" s="6">
        <v>46</v>
      </c>
      <c r="B47" s="5" t="s">
        <v>562</v>
      </c>
      <c r="C47" s="6" t="str">
        <f>VLOOKUP(B47,Справочник!$D$2:$E$119,2,FALSE)</f>
        <v>Махмадов Шохамид Шарифович</v>
      </c>
      <c r="D47" s="5" t="s">
        <v>563</v>
      </c>
      <c r="E47" s="6" t="s">
        <v>564</v>
      </c>
      <c r="F47" s="7" t="s">
        <v>501</v>
      </c>
      <c r="G47" s="7" t="s">
        <v>501</v>
      </c>
    </row>
    <row r="48" spans="1:7" ht="19.95" customHeight="1" x14ac:dyDescent="0.3">
      <c r="A48" s="5">
        <v>47</v>
      </c>
      <c r="B48" s="5" t="s">
        <v>565</v>
      </c>
      <c r="C48" s="5" t="str">
        <f>VLOOKUP(B48,Справочник!$D$2:$E$119,2,FALSE)</f>
        <v>Махмудов Анварджон Рузиевич</v>
      </c>
      <c r="D48" s="5" t="s">
        <v>566</v>
      </c>
      <c r="E48" s="5" t="s">
        <v>567</v>
      </c>
      <c r="F48" s="5" t="s">
        <v>501</v>
      </c>
      <c r="G48" s="5" t="s">
        <v>501</v>
      </c>
    </row>
    <row r="49" spans="1:7" ht="48" customHeight="1" x14ac:dyDescent="0.3">
      <c r="A49" s="6">
        <v>48</v>
      </c>
      <c r="B49" s="5" t="s">
        <v>568</v>
      </c>
      <c r="C49" s="6" t="str">
        <f>VLOOKUP(B49,Справочник!$D$2:$E$119,2,FALSE)</f>
        <v>Махмудов Иброхимчон</v>
      </c>
      <c r="D49" s="5" t="s">
        <v>502</v>
      </c>
      <c r="E49" s="6" t="s">
        <v>503</v>
      </c>
      <c r="F49" s="7" t="s">
        <v>501</v>
      </c>
      <c r="G49" s="7" t="s">
        <v>501</v>
      </c>
    </row>
    <row r="50" spans="1:7" ht="61.95" customHeight="1" x14ac:dyDescent="0.3">
      <c r="A50" s="5">
        <v>49</v>
      </c>
      <c r="B50" s="5" t="s">
        <v>569</v>
      </c>
      <c r="C50" s="5" t="str">
        <f>VLOOKUP(B50,Справочник!$D$2:$E$119,2,FALSE)</f>
        <v>Махмудов Ислом Усмонович</v>
      </c>
      <c r="D50" s="5" t="s">
        <v>528</v>
      </c>
      <c r="E50" s="5" t="s">
        <v>529</v>
      </c>
      <c r="F50" s="5" t="s">
        <v>501</v>
      </c>
      <c r="G50" s="5" t="s">
        <v>501</v>
      </c>
    </row>
    <row r="51" spans="1:7" ht="19.95" customHeight="1" x14ac:dyDescent="0.3">
      <c r="A51" s="6">
        <v>50</v>
      </c>
      <c r="B51" s="5" t="s">
        <v>570</v>
      </c>
      <c r="C51" s="6" t="str">
        <f>VLOOKUP(B51,Справочник!$D$2:$E$119,2,FALSE)</f>
        <v>Мачидов Наим</v>
      </c>
      <c r="D51" s="5" t="s">
        <v>514</v>
      </c>
      <c r="E51" s="6" t="s">
        <v>515</v>
      </c>
      <c r="F51" s="7" t="s">
        <v>501</v>
      </c>
      <c r="G51" s="7" t="s">
        <v>501</v>
      </c>
    </row>
    <row r="52" spans="1:7" ht="19.95" customHeight="1" x14ac:dyDescent="0.3">
      <c r="A52" s="5">
        <v>51</v>
      </c>
      <c r="B52" s="5" t="s">
        <v>571</v>
      </c>
      <c r="C52" s="5" t="str">
        <f>VLOOKUP(B52,Справочник!$D$2:$E$119,2,FALSE)</f>
        <v>Мирзобобоев Мирзобарот Муродчонович</v>
      </c>
      <c r="D52" s="5" t="s">
        <v>533</v>
      </c>
      <c r="E52" s="5" t="s">
        <v>534</v>
      </c>
      <c r="F52" s="5" t="s">
        <v>501</v>
      </c>
      <c r="G52" s="5" t="s">
        <v>501</v>
      </c>
    </row>
    <row r="53" spans="1:7" ht="48" customHeight="1" x14ac:dyDescent="0.3">
      <c r="A53" s="6">
        <v>52</v>
      </c>
      <c r="B53" s="5" t="s">
        <v>572</v>
      </c>
      <c r="C53" s="6" t="str">
        <f>VLOOKUP(B53,Справочник!$D$2:$E$119,2,FALSE)</f>
        <v>Мирзобобоев Мирзохалим</v>
      </c>
      <c r="D53" s="5" t="s">
        <v>563</v>
      </c>
      <c r="E53" s="6" t="s">
        <v>564</v>
      </c>
      <c r="F53" s="7" t="s">
        <v>501</v>
      </c>
      <c r="G53" s="7" t="s">
        <v>501</v>
      </c>
    </row>
    <row r="54" spans="1:7" ht="34.049999999999997" customHeight="1" x14ac:dyDescent="0.3">
      <c r="A54" s="5">
        <v>53</v>
      </c>
      <c r="B54" s="5" t="s">
        <v>573</v>
      </c>
      <c r="C54" s="5" t="str">
        <f>VLOOKUP(B54,Справочник!$D$2:$E$119,2,FALSE)</f>
        <v>Мирзомансуров Абдурахмон</v>
      </c>
      <c r="D54" s="5" t="s">
        <v>528</v>
      </c>
      <c r="E54" s="5" t="s">
        <v>574</v>
      </c>
      <c r="F54" s="5" t="s">
        <v>501</v>
      </c>
      <c r="G54" s="5" t="s">
        <v>501</v>
      </c>
    </row>
    <row r="55" spans="1:7" ht="19.95" customHeight="1" x14ac:dyDescent="0.3">
      <c r="A55" s="6">
        <v>54</v>
      </c>
      <c r="B55" s="5" t="s">
        <v>575</v>
      </c>
      <c r="C55" s="6" t="str">
        <f>VLOOKUP(B55,Справочник!$D$2:$E$119,2,FALSE)</f>
        <v>Назаров Носир</v>
      </c>
      <c r="D55" s="5" t="s">
        <v>499</v>
      </c>
      <c r="E55" s="6" t="s">
        <v>500</v>
      </c>
      <c r="F55" s="7" t="s">
        <v>501</v>
      </c>
      <c r="G55" s="7" t="s">
        <v>501</v>
      </c>
    </row>
    <row r="56" spans="1:7" ht="19.95" customHeight="1" x14ac:dyDescent="0.3">
      <c r="A56" s="5">
        <v>55</v>
      </c>
      <c r="B56" s="5" t="s">
        <v>576</v>
      </c>
      <c r="C56" s="5" t="str">
        <f>VLOOKUP(B56,Справочник!$D$2:$E$119,2,FALSE)</f>
        <v>Наимов Нурулло Насимович</v>
      </c>
      <c r="D56" s="5" t="s">
        <v>517</v>
      </c>
      <c r="E56" s="5" t="s">
        <v>78</v>
      </c>
      <c r="F56" s="5" t="s">
        <v>501</v>
      </c>
      <c r="G56" s="5" t="s">
        <v>501</v>
      </c>
    </row>
    <row r="57" spans="1:7" ht="19.95" customHeight="1" x14ac:dyDescent="0.3">
      <c r="A57" s="6">
        <v>56</v>
      </c>
      <c r="B57" s="5" t="s">
        <v>577</v>
      </c>
      <c r="C57" s="6" t="str">
        <f>VLOOKUP(B57,Справочник!$D$2:$E$119,2,FALSE)</f>
        <v>Насуллоев Набичон</v>
      </c>
      <c r="D57" s="5" t="s">
        <v>566</v>
      </c>
      <c r="E57" s="6" t="s">
        <v>567</v>
      </c>
      <c r="F57" s="7" t="s">
        <v>501</v>
      </c>
      <c r="G57" s="7" t="s">
        <v>501</v>
      </c>
    </row>
    <row r="58" spans="1:7" ht="19.95" customHeight="1" x14ac:dyDescent="0.3">
      <c r="A58" s="5">
        <v>57</v>
      </c>
      <c r="B58" s="5" t="s">
        <v>578</v>
      </c>
      <c r="C58" s="5" t="str">
        <f>VLOOKUP(B58,Справочник!$D$2:$E$119,2,FALSE)</f>
        <v>Негматов Камолиддин</v>
      </c>
      <c r="D58" s="5" t="s">
        <v>517</v>
      </c>
      <c r="E58" s="5" t="s">
        <v>78</v>
      </c>
      <c r="F58" s="5" t="s">
        <v>501</v>
      </c>
      <c r="G58" s="5" t="s">
        <v>501</v>
      </c>
    </row>
    <row r="59" spans="1:7" ht="48" customHeight="1" x14ac:dyDescent="0.3">
      <c r="A59" s="6">
        <v>58</v>
      </c>
      <c r="B59" s="5" t="s">
        <v>579</v>
      </c>
      <c r="C59" s="6" t="str">
        <f>VLOOKUP(B59,Справочник!$D$2:$E$119,2,FALSE)</f>
        <v>Неъматов Анушервон Нозимчонович</v>
      </c>
      <c r="D59" s="5" t="s">
        <v>502</v>
      </c>
      <c r="E59" s="6" t="s">
        <v>503</v>
      </c>
      <c r="F59" s="7" t="s">
        <v>501</v>
      </c>
      <c r="G59" s="7" t="s">
        <v>501</v>
      </c>
    </row>
    <row r="60" spans="1:7" ht="19.95" customHeight="1" x14ac:dyDescent="0.3">
      <c r="A60" s="5">
        <v>59</v>
      </c>
      <c r="B60" s="5" t="s">
        <v>580</v>
      </c>
      <c r="C60" s="5" t="str">
        <f>VLOOKUP(B60,Справочник!$D$2:$E$119,2,FALSE)</f>
        <v>Нодиров Равшан Пулодович</v>
      </c>
      <c r="D60" s="5" t="s">
        <v>517</v>
      </c>
      <c r="E60" s="5" t="s">
        <v>78</v>
      </c>
      <c r="F60" s="5" t="s">
        <v>501</v>
      </c>
      <c r="G60" s="5" t="s">
        <v>501</v>
      </c>
    </row>
    <row r="61" spans="1:7" ht="19.95" customHeight="1" x14ac:dyDescent="0.3">
      <c r="A61" s="6">
        <v>60</v>
      </c>
      <c r="B61" s="5" t="s">
        <v>581</v>
      </c>
      <c r="C61" s="6" t="str">
        <f>VLOOKUP(B61,Справочник!$D$2:$E$119,2,FALSE)</f>
        <v>Нуров Баходур Чамшедович</v>
      </c>
      <c r="D61" s="5" t="s">
        <v>508</v>
      </c>
      <c r="E61" s="6" t="s">
        <v>509</v>
      </c>
      <c r="F61" s="7" t="s">
        <v>501</v>
      </c>
      <c r="G61" s="7" t="s">
        <v>501</v>
      </c>
    </row>
    <row r="62" spans="1:7" ht="19.95" customHeight="1" x14ac:dyDescent="0.3">
      <c r="A62" s="5">
        <v>61</v>
      </c>
      <c r="B62" s="5" t="s">
        <v>582</v>
      </c>
      <c r="C62" s="5" t="str">
        <f>VLOOKUP(B62,Справочник!$D$2:$E$119,2,FALSE)</f>
        <v>Обидов Фарход Муминчонович</v>
      </c>
      <c r="D62" s="5" t="s">
        <v>542</v>
      </c>
      <c r="E62" s="5" t="s">
        <v>543</v>
      </c>
      <c r="F62" s="5" t="s">
        <v>501</v>
      </c>
      <c r="G62" s="5" t="s">
        <v>501</v>
      </c>
    </row>
    <row r="63" spans="1:7" ht="48" customHeight="1" x14ac:dyDescent="0.3">
      <c r="A63" s="6">
        <v>62</v>
      </c>
      <c r="B63" s="5" t="s">
        <v>583</v>
      </c>
      <c r="C63" s="6" t="str">
        <f>VLOOKUP(B63,Справочник!$D$2:$E$119,2,FALSE)</f>
        <v>Одинаев Абдухалим</v>
      </c>
      <c r="D63" s="5" t="s">
        <v>563</v>
      </c>
      <c r="E63" s="6" t="s">
        <v>564</v>
      </c>
      <c r="F63" s="7" t="s">
        <v>501</v>
      </c>
      <c r="G63" s="7" t="s">
        <v>501</v>
      </c>
    </row>
    <row r="64" spans="1:7" ht="19.95" customHeight="1" x14ac:dyDescent="0.3">
      <c r="A64" s="5">
        <v>63</v>
      </c>
      <c r="B64" s="5" t="s">
        <v>24</v>
      </c>
      <c r="C64" s="5" t="str">
        <f>VLOOKUP(B64,Справочник!$D$2:$E$119,2,FALSE)</f>
        <v>Пономарев Олег Александрович</v>
      </c>
      <c r="D64" s="5" t="s">
        <v>542</v>
      </c>
      <c r="E64" s="5" t="s">
        <v>543</v>
      </c>
      <c r="F64" s="5" t="s">
        <v>501</v>
      </c>
      <c r="G64" s="5" t="s">
        <v>501</v>
      </c>
    </row>
    <row r="65" spans="1:7" ht="19.95" customHeight="1" x14ac:dyDescent="0.3">
      <c r="A65" s="6">
        <v>64</v>
      </c>
      <c r="B65" s="5" t="s">
        <v>76</v>
      </c>
      <c r="C65" s="6" t="str">
        <f>VLOOKUP(B65,Справочник!$D$2:$E$119,2,FALSE)</f>
        <v>Рабиев Илхомджон Бобочонович</v>
      </c>
      <c r="D65" s="5" t="s">
        <v>584</v>
      </c>
      <c r="E65" s="6" t="s">
        <v>585</v>
      </c>
      <c r="F65" s="7" t="s">
        <v>501</v>
      </c>
      <c r="G65" s="7" t="s">
        <v>501</v>
      </c>
    </row>
    <row r="66" spans="1:7" ht="61.95" customHeight="1" x14ac:dyDescent="0.3">
      <c r="A66" s="5">
        <v>65</v>
      </c>
      <c r="B66" s="5" t="s">
        <v>586</v>
      </c>
      <c r="C66" s="5" t="str">
        <f>VLOOKUP(B66,Справочник!$D$2:$E$119,2,FALSE)</f>
        <v>Рахимов Дилшод Нематович</v>
      </c>
      <c r="D66" s="5" t="s">
        <v>528</v>
      </c>
      <c r="E66" s="5" t="s">
        <v>529</v>
      </c>
      <c r="F66" s="5" t="s">
        <v>501</v>
      </c>
      <c r="G66" s="5" t="s">
        <v>501</v>
      </c>
    </row>
    <row r="67" spans="1:7" ht="19.95" customHeight="1" x14ac:dyDescent="0.3">
      <c r="A67" s="6">
        <v>66</v>
      </c>
      <c r="B67" s="5" t="s">
        <v>587</v>
      </c>
      <c r="C67" s="6" t="str">
        <f>VLOOKUP(B67,Справочник!$D$2:$E$119,2,FALSE)</f>
        <v>Рахимходжаев Амирхуча</v>
      </c>
      <c r="D67" s="5" t="s">
        <v>505</v>
      </c>
      <c r="E67" s="6" t="s">
        <v>506</v>
      </c>
      <c r="F67" s="7" t="s">
        <v>501</v>
      </c>
      <c r="G67" s="7" t="s">
        <v>501</v>
      </c>
    </row>
    <row r="68" spans="1:7" ht="19.95" customHeight="1" x14ac:dyDescent="0.3">
      <c r="A68" s="5">
        <v>67</v>
      </c>
      <c r="B68" s="5" t="s">
        <v>588</v>
      </c>
      <c r="C68" s="5" t="str">
        <f>VLOOKUP(B68,Справочник!$D$2:$E$119,2,FALSE)</f>
        <v>Рахматов Мукимчон Музаффарович</v>
      </c>
      <c r="D68" s="5" t="s">
        <v>566</v>
      </c>
      <c r="E68" s="5" t="s">
        <v>567</v>
      </c>
      <c r="F68" s="5" t="s">
        <v>501</v>
      </c>
      <c r="G68" s="5" t="s">
        <v>501</v>
      </c>
    </row>
    <row r="69" spans="1:7" ht="19.95" customHeight="1" x14ac:dyDescent="0.3">
      <c r="A69" s="6">
        <v>68</v>
      </c>
      <c r="B69" s="5" t="s">
        <v>52</v>
      </c>
      <c r="C69" s="6" t="str">
        <f>VLOOKUP(B69,Справочник!$D$2:$E$119,2,FALSE)</f>
        <v>Рахмонов Умедчон Турсунбоевич</v>
      </c>
      <c r="D69" s="5" t="s">
        <v>538</v>
      </c>
      <c r="E69" s="6" t="s">
        <v>539</v>
      </c>
      <c r="F69" s="7" t="s">
        <v>501</v>
      </c>
      <c r="G69" s="7" t="s">
        <v>501</v>
      </c>
    </row>
    <row r="70" spans="1:7" ht="19.95" customHeight="1" x14ac:dyDescent="0.3">
      <c r="A70" s="5">
        <v>69</v>
      </c>
      <c r="B70" s="5" t="s">
        <v>589</v>
      </c>
      <c r="C70" s="5" t="str">
        <f>VLOOKUP(B70,Справочник!$D$2:$E$119,2,FALSE)</f>
        <v>Рачабов Умедчон</v>
      </c>
      <c r="D70" s="5" t="s">
        <v>517</v>
      </c>
      <c r="E70" s="5" t="s">
        <v>78</v>
      </c>
      <c r="F70" s="5" t="s">
        <v>501</v>
      </c>
      <c r="G70" s="5" t="s">
        <v>501</v>
      </c>
    </row>
    <row r="71" spans="1:7" ht="34.049999999999997" customHeight="1" x14ac:dyDescent="0.3">
      <c r="A71" s="6">
        <v>70</v>
      </c>
      <c r="B71" s="5" t="s">
        <v>590</v>
      </c>
      <c r="C71" s="6" t="str">
        <f>VLOOKUP(B71,Справочник!$D$2:$E$119,2,FALSE)</f>
        <v>Рустамзода Анушервон</v>
      </c>
      <c r="D71" s="5" t="s">
        <v>591</v>
      </c>
      <c r="E71" s="6" t="s">
        <v>15</v>
      </c>
      <c r="F71" s="7" t="s">
        <v>501</v>
      </c>
      <c r="G71" s="7" t="s">
        <v>501</v>
      </c>
    </row>
    <row r="72" spans="1:7" ht="61.95" customHeight="1" x14ac:dyDescent="0.3">
      <c r="A72" s="5">
        <v>71</v>
      </c>
      <c r="B72" s="5" t="s">
        <v>592</v>
      </c>
      <c r="C72" s="5" t="str">
        <f>VLOOKUP(B72,Справочник!$D$2:$E$119,2,FALSE)</f>
        <v>Рустамов Мухсинчон Муминович</v>
      </c>
      <c r="D72" s="5" t="s">
        <v>528</v>
      </c>
      <c r="E72" s="5" t="s">
        <v>529</v>
      </c>
      <c r="F72" s="5" t="s">
        <v>501</v>
      </c>
      <c r="G72" s="5" t="s">
        <v>501</v>
      </c>
    </row>
    <row r="73" spans="1:7" ht="19.95" customHeight="1" x14ac:dyDescent="0.3">
      <c r="A73" s="6">
        <v>72</v>
      </c>
      <c r="B73" s="5" t="s">
        <v>593</v>
      </c>
      <c r="C73" s="6" t="str">
        <f>VLOOKUP(B73,Справочник!$D$2:$E$119,2,FALSE)</f>
        <v>Рустамов Нурулло</v>
      </c>
      <c r="D73" s="5" t="s">
        <v>501</v>
      </c>
      <c r="E73" s="6" t="s">
        <v>594</v>
      </c>
      <c r="F73" s="7" t="s">
        <v>501</v>
      </c>
      <c r="G73" s="7" t="s">
        <v>501</v>
      </c>
    </row>
    <row r="74" spans="1:7" ht="19.95" customHeight="1" x14ac:dyDescent="0.3">
      <c r="A74" s="5">
        <v>73</v>
      </c>
      <c r="B74" s="5" t="s">
        <v>16</v>
      </c>
      <c r="C74" s="5" t="str">
        <f>VLOOKUP(B74,Справочник!$D$2:$E$119,2,FALSE)</f>
        <v>Рустамов Рахимджон Мухамадович</v>
      </c>
      <c r="D74" s="5" t="s">
        <v>499</v>
      </c>
      <c r="E74" s="5" t="s">
        <v>500</v>
      </c>
      <c r="F74" s="5" t="s">
        <v>501</v>
      </c>
      <c r="G74" s="5" t="s">
        <v>501</v>
      </c>
    </row>
    <row r="75" spans="1:7" ht="19.95" customHeight="1" x14ac:dyDescent="0.3">
      <c r="A75" s="6">
        <v>74</v>
      </c>
      <c r="B75" s="5" t="s">
        <v>595</v>
      </c>
      <c r="C75" s="6" t="str">
        <f>VLOOKUP(B75,Справочник!$D$2:$E$119,2,FALSE)</f>
        <v>Саидов Аюбчон Муминчонович</v>
      </c>
      <c r="D75" s="5" t="s">
        <v>533</v>
      </c>
      <c r="E75" s="6" t="s">
        <v>534</v>
      </c>
      <c r="F75" s="7" t="s">
        <v>501</v>
      </c>
      <c r="G75" s="7" t="s">
        <v>501</v>
      </c>
    </row>
    <row r="76" spans="1:7" ht="19.95" customHeight="1" x14ac:dyDescent="0.3">
      <c r="A76" s="5">
        <v>75</v>
      </c>
      <c r="B76" s="5" t="s">
        <v>596</v>
      </c>
      <c r="C76" s="5" t="str">
        <f>VLOOKUP(B76,Справочник!$D$2:$E$119,2,FALSE)</f>
        <v>Сайдуллоев Баховаддин Рахматчонович</v>
      </c>
      <c r="D76" s="5" t="s">
        <v>508</v>
      </c>
      <c r="E76" s="5" t="s">
        <v>509</v>
      </c>
      <c r="F76" s="5" t="s">
        <v>597</v>
      </c>
      <c r="G76" s="5" t="s">
        <v>501</v>
      </c>
    </row>
    <row r="77" spans="1:7" ht="19.95" customHeight="1" x14ac:dyDescent="0.3">
      <c r="A77" s="6">
        <v>76</v>
      </c>
      <c r="B77" s="5" t="s">
        <v>598</v>
      </c>
      <c r="C77" s="6" t="str">
        <f>VLOOKUP(B77,Справочник!$D$2:$E$119,2,FALSE)</f>
        <v>Самадов Абдували</v>
      </c>
      <c r="D77" s="5" t="s">
        <v>533</v>
      </c>
      <c r="E77" s="6" t="s">
        <v>534</v>
      </c>
      <c r="F77" s="7" t="s">
        <v>501</v>
      </c>
      <c r="G77" s="7" t="s">
        <v>501</v>
      </c>
    </row>
    <row r="78" spans="1:7" ht="19.95" customHeight="1" x14ac:dyDescent="0.3">
      <c r="A78" s="5">
        <v>77</v>
      </c>
      <c r="B78" s="5" t="s">
        <v>599</v>
      </c>
      <c r="C78" s="5" t="str">
        <f>VLOOKUP(B78,Справочник!$D$2:$E$119,2,FALSE)</f>
        <v>Самадова Фарзона</v>
      </c>
      <c r="D78" s="5" t="s">
        <v>508</v>
      </c>
      <c r="E78" s="5" t="s">
        <v>509</v>
      </c>
      <c r="F78" s="5" t="s">
        <v>501</v>
      </c>
      <c r="G78" s="5" t="s">
        <v>501</v>
      </c>
    </row>
    <row r="79" spans="1:7" ht="19.95" customHeight="1" x14ac:dyDescent="0.3">
      <c r="A79" s="6">
        <v>78</v>
      </c>
      <c r="B79" s="5" t="s">
        <v>600</v>
      </c>
      <c r="C79" s="6" t="str">
        <f>VLOOKUP(B79,Справочник!$D$2:$E$119,2,FALSE)</f>
        <v>Самандаров Зикруллоходжа</v>
      </c>
      <c r="D79" s="5" t="s">
        <v>542</v>
      </c>
      <c r="E79" s="6" t="s">
        <v>543</v>
      </c>
      <c r="F79" s="7" t="s">
        <v>501</v>
      </c>
      <c r="G79" s="7" t="s">
        <v>501</v>
      </c>
    </row>
    <row r="80" spans="1:7" ht="19.95" customHeight="1" x14ac:dyDescent="0.3">
      <c r="A80" s="5">
        <v>79</v>
      </c>
      <c r="B80" s="5" t="s">
        <v>42</v>
      </c>
      <c r="C80" s="5" t="str">
        <f>VLOOKUP(B80,Справочник!$D$2:$E$119,2,FALSE)</f>
        <v>Самандаров Исмоилхоча Вохидхочаевич</v>
      </c>
      <c r="D80" s="5" t="s">
        <v>566</v>
      </c>
      <c r="E80" s="5" t="s">
        <v>567</v>
      </c>
      <c r="F80" s="5" t="s">
        <v>501</v>
      </c>
      <c r="G80" s="5" t="s">
        <v>501</v>
      </c>
    </row>
    <row r="81" spans="1:7" ht="61.95" customHeight="1" x14ac:dyDescent="0.3">
      <c r="A81" s="6">
        <v>80</v>
      </c>
      <c r="B81" s="5" t="s">
        <v>27</v>
      </c>
      <c r="C81" s="6" t="str">
        <f>VLOOKUP(B81,Справочник!$D$2:$E$119,2,FALSE)</f>
        <v>Самандаров Исроилхоча Вохидхочаевич</v>
      </c>
      <c r="D81" s="5" t="s">
        <v>528</v>
      </c>
      <c r="E81" s="6" t="s">
        <v>529</v>
      </c>
      <c r="F81" s="7" t="s">
        <v>501</v>
      </c>
      <c r="G81" s="7" t="s">
        <v>501</v>
      </c>
    </row>
    <row r="82" spans="1:7" ht="19.95" customHeight="1" x14ac:dyDescent="0.3">
      <c r="A82" s="5">
        <v>81</v>
      </c>
      <c r="B82" s="5" t="s">
        <v>601</v>
      </c>
      <c r="C82" s="5" t="str">
        <f>VLOOKUP(B82,Справочник!$D$2:$E$119,2,FALSE)</f>
        <v>Сангинзода Хайдарчон Одили</v>
      </c>
      <c r="D82" s="5" t="s">
        <v>538</v>
      </c>
      <c r="E82" s="5" t="s">
        <v>539</v>
      </c>
      <c r="F82" s="5" t="s">
        <v>501</v>
      </c>
      <c r="G82" s="5" t="s">
        <v>501</v>
      </c>
    </row>
    <row r="83" spans="1:7" ht="19.95" customHeight="1" x14ac:dyDescent="0.3">
      <c r="A83" s="6">
        <v>82</v>
      </c>
      <c r="B83" s="5" t="s">
        <v>602</v>
      </c>
      <c r="C83" s="6" t="str">
        <f>VLOOKUP(B83,Справочник!$D$2:$E$119,2,FALSE)</f>
        <v>Сатторов Илхомчон Ахмадчонович</v>
      </c>
      <c r="D83" s="5" t="s">
        <v>508</v>
      </c>
      <c r="E83" s="6" t="s">
        <v>509</v>
      </c>
      <c r="F83" s="7" t="s">
        <v>501</v>
      </c>
      <c r="G83" s="7" t="s">
        <v>501</v>
      </c>
    </row>
    <row r="84" spans="1:7" ht="34.049999999999997" customHeight="1" x14ac:dyDescent="0.3">
      <c r="A84" s="5">
        <v>83</v>
      </c>
      <c r="B84" s="5" t="s">
        <v>43</v>
      </c>
      <c r="C84" s="5" t="str">
        <f>VLOOKUP(B84,Справочник!$D$2:$E$119,2,FALSE)</f>
        <v>Собиров Аличон Лахаевич</v>
      </c>
      <c r="D84" s="5" t="s">
        <v>530</v>
      </c>
      <c r="E84" s="5" t="s">
        <v>531</v>
      </c>
      <c r="F84" s="5" t="s">
        <v>7</v>
      </c>
      <c r="G84" s="5" t="s">
        <v>501</v>
      </c>
    </row>
    <row r="85" spans="1:7" ht="19.95" customHeight="1" x14ac:dyDescent="0.3">
      <c r="A85" s="6">
        <v>84</v>
      </c>
      <c r="B85" s="5" t="s">
        <v>603</v>
      </c>
      <c r="C85" s="6" t="str">
        <f>VLOOKUP(B85,Справочник!$D$2:$E$119,2,FALSE)</f>
        <v>Собиров Фарход Акрамович</v>
      </c>
      <c r="D85" s="5" t="s">
        <v>517</v>
      </c>
      <c r="E85" s="6" t="s">
        <v>78</v>
      </c>
      <c r="F85" s="7" t="s">
        <v>501</v>
      </c>
      <c r="G85" s="7" t="s">
        <v>501</v>
      </c>
    </row>
    <row r="86" spans="1:7" ht="19.95" customHeight="1" x14ac:dyDescent="0.3">
      <c r="A86" s="5">
        <v>85</v>
      </c>
      <c r="B86" s="5" t="s">
        <v>604</v>
      </c>
      <c r="C86" s="5" t="str">
        <f>VLOOKUP(B86,Справочник!$D$2:$E$119,2,FALSE)</f>
        <v>Содиков Савриддин Иброхимович</v>
      </c>
      <c r="D86" s="5" t="s">
        <v>517</v>
      </c>
      <c r="E86" s="5" t="s">
        <v>78</v>
      </c>
      <c r="F86" s="5" t="s">
        <v>501</v>
      </c>
      <c r="G86" s="5" t="s">
        <v>501</v>
      </c>
    </row>
    <row r="87" spans="1:7" ht="19.95" customHeight="1" x14ac:dyDescent="0.3">
      <c r="A87" s="6">
        <v>86</v>
      </c>
      <c r="B87" s="5" t="s">
        <v>605</v>
      </c>
      <c r="C87" s="6" t="str">
        <f>VLOOKUP(B87,Справочник!$D$2:$E$119,2,FALSE)</f>
        <v>Солибоева Мутрибахон</v>
      </c>
      <c r="D87" s="5" t="s">
        <v>508</v>
      </c>
      <c r="E87" s="6" t="s">
        <v>509</v>
      </c>
      <c r="F87" s="7" t="s">
        <v>501</v>
      </c>
      <c r="G87" s="7" t="s">
        <v>501</v>
      </c>
    </row>
    <row r="88" spans="1:7" ht="34.049999999999997" customHeight="1" x14ac:dyDescent="0.3">
      <c r="A88" s="5">
        <v>87</v>
      </c>
      <c r="B88" s="5" t="s">
        <v>28</v>
      </c>
      <c r="C88" s="5" t="str">
        <f>VLOOKUP(B88,Справочник!$D$2:$E$119,2,FALSE)</f>
        <v>Солиев Умедчон Абдучалолович</v>
      </c>
      <c r="D88" s="5" t="s">
        <v>530</v>
      </c>
      <c r="E88" s="5" t="s">
        <v>531</v>
      </c>
      <c r="F88" s="5" t="s">
        <v>7</v>
      </c>
      <c r="G88" s="5" t="s">
        <v>501</v>
      </c>
    </row>
    <row r="89" spans="1:7" ht="19.95" customHeight="1" x14ac:dyDescent="0.3">
      <c r="A89" s="6">
        <v>88</v>
      </c>
      <c r="B89" s="5" t="s">
        <v>606</v>
      </c>
      <c r="C89" s="6" t="str">
        <f>VLOOKUP(B89,Справочник!$D$2:$E$119,2,FALSE)</f>
        <v>Степкин Роман Викторович</v>
      </c>
      <c r="D89" s="5" t="s">
        <v>501</v>
      </c>
      <c r="E89" s="6" t="s">
        <v>607</v>
      </c>
      <c r="F89" s="7" t="s">
        <v>501</v>
      </c>
      <c r="G89" s="7" t="s">
        <v>501</v>
      </c>
    </row>
    <row r="90" spans="1:7" ht="19.95" customHeight="1" x14ac:dyDescent="0.3">
      <c r="A90" s="5">
        <v>89</v>
      </c>
      <c r="B90" s="5" t="s">
        <v>31</v>
      </c>
      <c r="C90" s="5" t="str">
        <f>VLOOKUP(B90,Справочник!$D$2:$E$119,2,FALSE)</f>
        <v>Урунов Акмалхуча Абдуллоевич</v>
      </c>
      <c r="D90" s="5" t="s">
        <v>538</v>
      </c>
      <c r="E90" s="5" t="s">
        <v>539</v>
      </c>
      <c r="F90" s="5" t="s">
        <v>501</v>
      </c>
      <c r="G90" s="5" t="s">
        <v>501</v>
      </c>
    </row>
    <row r="91" spans="1:7" ht="34.049999999999997" customHeight="1" x14ac:dyDescent="0.3">
      <c r="A91" s="6">
        <v>90</v>
      </c>
      <c r="B91" s="5" t="s">
        <v>608</v>
      </c>
      <c r="C91" s="6" t="str">
        <f>VLOOKUP(B91,Справочник!$D$2:$E$119,2,FALSE)</f>
        <v>Урунова Фарангис Рафиевна</v>
      </c>
      <c r="D91" s="5" t="s">
        <v>530</v>
      </c>
      <c r="E91" s="6" t="s">
        <v>531</v>
      </c>
      <c r="F91" s="7" t="s">
        <v>7</v>
      </c>
      <c r="G91" s="7" t="s">
        <v>501</v>
      </c>
    </row>
    <row r="92" spans="1:7" ht="61.95" customHeight="1" x14ac:dyDescent="0.3">
      <c r="A92" s="5">
        <v>91</v>
      </c>
      <c r="B92" s="5" t="s">
        <v>609</v>
      </c>
      <c r="C92" s="5" t="str">
        <f>VLOOKUP(B92,Справочник!$D$2:$E$119,2,FALSE)</f>
        <v>Фаёзов Шавкат</v>
      </c>
      <c r="D92" s="5" t="s">
        <v>528</v>
      </c>
      <c r="E92" s="5" t="s">
        <v>529</v>
      </c>
      <c r="F92" s="5" t="s">
        <v>501</v>
      </c>
      <c r="G92" s="5" t="s">
        <v>501</v>
      </c>
    </row>
    <row r="93" spans="1:7" ht="19.95" customHeight="1" x14ac:dyDescent="0.3">
      <c r="A93" s="6">
        <v>92</v>
      </c>
      <c r="B93" s="5" t="s">
        <v>610</v>
      </c>
      <c r="C93" s="6" t="str">
        <f>VLOOKUP(B93,Справочник!$D$2:$E$119,2,FALSE)</f>
        <v>Хакимов Азимчон Анварович</v>
      </c>
      <c r="D93" s="5" t="s">
        <v>538</v>
      </c>
      <c r="E93" s="6" t="s">
        <v>539</v>
      </c>
      <c r="F93" s="7" t="s">
        <v>501</v>
      </c>
      <c r="G93" s="7" t="s">
        <v>501</v>
      </c>
    </row>
    <row r="94" spans="1:7" ht="34.049999999999997" customHeight="1" x14ac:dyDescent="0.3">
      <c r="A94" s="5">
        <v>93</v>
      </c>
      <c r="B94" s="5" t="s">
        <v>611</v>
      </c>
      <c r="C94" s="5" t="str">
        <f>VLOOKUP(B94,Справочник!$D$2:$E$119,2,FALSE)</f>
        <v>Хакимов Мирзомубин Наимович</v>
      </c>
      <c r="D94" s="5" t="s">
        <v>591</v>
      </c>
      <c r="E94" s="5" t="s">
        <v>15</v>
      </c>
      <c r="F94" s="5" t="s">
        <v>501</v>
      </c>
      <c r="G94" s="5" t="s">
        <v>501</v>
      </c>
    </row>
    <row r="95" spans="1:7" ht="19.95" customHeight="1" x14ac:dyDescent="0.3">
      <c r="A95" s="6">
        <v>94</v>
      </c>
      <c r="B95" s="5" t="s">
        <v>612</v>
      </c>
      <c r="C95" s="6" t="str">
        <f>VLOOKUP(B95,Справочник!$D$2:$E$119,2,FALSE)</f>
        <v>Хакимов Мирзомуин Наимович</v>
      </c>
      <c r="D95" s="5" t="s">
        <v>499</v>
      </c>
      <c r="E95" s="6" t="s">
        <v>500</v>
      </c>
      <c r="F95" s="7" t="s">
        <v>501</v>
      </c>
      <c r="G95" s="7" t="s">
        <v>501</v>
      </c>
    </row>
    <row r="96" spans="1:7" ht="19.95" customHeight="1" x14ac:dyDescent="0.3">
      <c r="A96" s="5">
        <v>95</v>
      </c>
      <c r="B96" s="5" t="s">
        <v>20</v>
      </c>
      <c r="C96" s="5" t="str">
        <f>VLOOKUP(B96,Справочник!$D$2:$E$119,2,FALSE)</f>
        <v>Хасанов Фарход Сулаймонович</v>
      </c>
      <c r="D96" s="5" t="s">
        <v>499</v>
      </c>
      <c r="E96" s="5" t="s">
        <v>500</v>
      </c>
      <c r="F96" s="5" t="s">
        <v>501</v>
      </c>
      <c r="G96" s="5" t="s">
        <v>501</v>
      </c>
    </row>
    <row r="97" spans="1:7" ht="34.049999999999997" customHeight="1" x14ac:dyDescent="0.3">
      <c r="A97" s="6">
        <v>96</v>
      </c>
      <c r="B97" s="5" t="s">
        <v>613</v>
      </c>
      <c r="C97" s="6" t="str">
        <f>VLOOKUP(B97,Справочник!$D$2:$E$119,2,FALSE)</f>
        <v>Холмуродов Фирдавс</v>
      </c>
      <c r="D97" s="5" t="s">
        <v>591</v>
      </c>
      <c r="E97" s="6" t="s">
        <v>15</v>
      </c>
      <c r="F97" s="7" t="s">
        <v>501</v>
      </c>
      <c r="G97" s="7" t="s">
        <v>501</v>
      </c>
    </row>
    <row r="98" spans="1:7" ht="19.95" customHeight="1" x14ac:dyDescent="0.3">
      <c r="A98" s="5">
        <v>97</v>
      </c>
      <c r="B98" s="5" t="s">
        <v>614</v>
      </c>
      <c r="C98" s="5" t="str">
        <f>VLOOKUP(B98,Справочник!$D$2:$E$119,2,FALSE)</f>
        <v>Холов Бехруз</v>
      </c>
      <c r="D98" s="5" t="s">
        <v>538</v>
      </c>
      <c r="E98" s="5" t="s">
        <v>539</v>
      </c>
      <c r="F98" s="5" t="s">
        <v>501</v>
      </c>
      <c r="G98" s="5" t="s">
        <v>501</v>
      </c>
    </row>
    <row r="99" spans="1:7" ht="19.95" customHeight="1" x14ac:dyDescent="0.3">
      <c r="A99" s="6">
        <v>98</v>
      </c>
      <c r="B99" s="5" t="s">
        <v>615</v>
      </c>
      <c r="C99" s="6" t="str">
        <f>VLOOKUP(B99,Справочник!$D$2:$E$119,2,FALSE)</f>
        <v>Холова Нигина</v>
      </c>
      <c r="D99" s="5" t="s">
        <v>501</v>
      </c>
      <c r="E99" s="6" t="s">
        <v>616</v>
      </c>
      <c r="F99" s="7" t="s">
        <v>501</v>
      </c>
      <c r="G99" s="7" t="s">
        <v>501</v>
      </c>
    </row>
    <row r="100" spans="1:7" ht="19.95" customHeight="1" x14ac:dyDescent="0.3">
      <c r="A100" s="5">
        <v>99</v>
      </c>
      <c r="B100" s="5" t="s">
        <v>617</v>
      </c>
      <c r="C100" s="5" t="str">
        <f>VLOOKUP(B100,Справочник!$D$2:$E$119,2,FALSE)</f>
        <v>Хомидов Иброхимхоча</v>
      </c>
      <c r="D100" s="5" t="s">
        <v>505</v>
      </c>
      <c r="E100" s="5" t="s">
        <v>618</v>
      </c>
      <c r="F100" s="5" t="s">
        <v>501</v>
      </c>
      <c r="G100" s="5" t="s">
        <v>501</v>
      </c>
    </row>
    <row r="101" spans="1:7" ht="19.95" customHeight="1" x14ac:dyDescent="0.3">
      <c r="A101" s="6">
        <v>100</v>
      </c>
      <c r="B101" s="5" t="s">
        <v>619</v>
      </c>
      <c r="C101" s="6" t="str">
        <f>VLOOKUP(B101,Справочник!$D$2:$E$119,2,FALSE)</f>
        <v>Хомидов Муродчон</v>
      </c>
      <c r="D101" s="5" t="s">
        <v>566</v>
      </c>
      <c r="E101" s="6" t="s">
        <v>567</v>
      </c>
      <c r="F101" s="7" t="s">
        <v>501</v>
      </c>
      <c r="G101" s="7" t="s">
        <v>501</v>
      </c>
    </row>
    <row r="102" spans="1:7" ht="19.95" customHeight="1" x14ac:dyDescent="0.3">
      <c r="A102" s="5">
        <v>101</v>
      </c>
      <c r="B102" s="5" t="s">
        <v>620</v>
      </c>
      <c r="C102" s="5" t="str">
        <f>VLOOKUP(B102,Справочник!$D$2:$E$119,2,FALSE)</f>
        <v>Хочаев Баховаддин Хошимович</v>
      </c>
      <c r="D102" s="5" t="s">
        <v>533</v>
      </c>
      <c r="E102" s="5" t="s">
        <v>534</v>
      </c>
      <c r="F102" s="5" t="s">
        <v>501</v>
      </c>
      <c r="G102" s="5" t="s">
        <v>501</v>
      </c>
    </row>
    <row r="103" spans="1:7" ht="34.049999999999997" customHeight="1" x14ac:dyDescent="0.3">
      <c r="A103" s="6">
        <v>102</v>
      </c>
      <c r="B103" s="5" t="s">
        <v>621</v>
      </c>
      <c r="C103" s="6" t="str">
        <f>VLOOKUP(B103,Справочник!$D$2:$E$119,2,FALSE)</f>
        <v>Хочирахимов Низомиддин</v>
      </c>
      <c r="D103" s="5" t="s">
        <v>591</v>
      </c>
      <c r="E103" s="6" t="s">
        <v>15</v>
      </c>
      <c r="F103" s="7" t="s">
        <v>501</v>
      </c>
      <c r="G103" s="7" t="s">
        <v>501</v>
      </c>
    </row>
    <row r="104" spans="1:7" ht="19.95" customHeight="1" x14ac:dyDescent="0.3">
      <c r="A104" s="5">
        <v>103</v>
      </c>
      <c r="B104" s="5" t="s">
        <v>622</v>
      </c>
      <c r="C104" s="5" t="str">
        <f>VLOOKUP(B104,Справочник!$D$2:$E$119,2,FALSE)</f>
        <v>Чумаев Аминчон Азимчонович</v>
      </c>
      <c r="D104" s="5" t="s">
        <v>517</v>
      </c>
      <c r="E104" s="5" t="s">
        <v>78</v>
      </c>
      <c r="F104" s="5" t="s">
        <v>501</v>
      </c>
      <c r="G104" s="5" t="s">
        <v>501</v>
      </c>
    </row>
    <row r="105" spans="1:7" ht="34.049999999999997" customHeight="1" x14ac:dyDescent="0.3">
      <c r="A105" s="6">
        <v>104</v>
      </c>
      <c r="B105" s="5" t="s">
        <v>58</v>
      </c>
      <c r="C105" s="6" t="str">
        <f>VLOOKUP(B105,Справочник!$D$2:$E$119,2,FALSE)</f>
        <v>Чураев Равшан Абдухакимович</v>
      </c>
      <c r="D105" s="5" t="s">
        <v>555</v>
      </c>
      <c r="E105" s="6" t="s">
        <v>556</v>
      </c>
      <c r="F105" s="7" t="s">
        <v>501</v>
      </c>
      <c r="G105" s="7" t="s">
        <v>501</v>
      </c>
    </row>
    <row r="106" spans="1:7" ht="19.95" customHeight="1" x14ac:dyDescent="0.3">
      <c r="A106" s="5">
        <v>105</v>
      </c>
      <c r="B106" s="5" t="s">
        <v>623</v>
      </c>
      <c r="C106" s="5" t="str">
        <f>VLOOKUP(B106,Справочник!$D$2:$E$119,2,FALSE)</f>
        <v>Чураев Шокирчон Азимович</v>
      </c>
      <c r="D106" s="5" t="s">
        <v>517</v>
      </c>
      <c r="E106" s="5" t="s">
        <v>78</v>
      </c>
      <c r="F106" s="5" t="s">
        <v>501</v>
      </c>
      <c r="G106" s="5" t="s">
        <v>501</v>
      </c>
    </row>
    <row r="107" spans="1:7" ht="48" customHeight="1" x14ac:dyDescent="0.3">
      <c r="A107" s="6">
        <v>106</v>
      </c>
      <c r="B107" s="5" t="s">
        <v>67</v>
      </c>
      <c r="C107" s="6" t="str">
        <f>VLOOKUP(B107,Справочник!$D$2:$E$119,2,FALSE)</f>
        <v>Шамсиев Мансурчон Муродович</v>
      </c>
      <c r="D107" s="5" t="s">
        <v>502</v>
      </c>
      <c r="E107" s="6" t="s">
        <v>503</v>
      </c>
      <c r="F107" s="7" t="s">
        <v>501</v>
      </c>
      <c r="G107" s="7" t="s">
        <v>501</v>
      </c>
    </row>
    <row r="108" spans="1:7" ht="61.95" customHeight="1" x14ac:dyDescent="0.3">
      <c r="A108" s="5">
        <v>107</v>
      </c>
      <c r="B108" s="5" t="s">
        <v>624</v>
      </c>
      <c r="C108" s="5" t="str">
        <f>VLOOKUP(B108,Справочник!$D$2:$E$119,2,FALSE)</f>
        <v>Шарипов Уктамчон Юлдошевич</v>
      </c>
      <c r="D108" s="5" t="s">
        <v>528</v>
      </c>
      <c r="E108" s="5" t="s">
        <v>529</v>
      </c>
      <c r="F108" s="5" t="s">
        <v>501</v>
      </c>
      <c r="G108" s="5" t="s">
        <v>501</v>
      </c>
    </row>
    <row r="109" spans="1:7" ht="61.95" customHeight="1" x14ac:dyDescent="0.3">
      <c r="A109" s="6">
        <v>108</v>
      </c>
      <c r="B109" s="5" t="s">
        <v>625</v>
      </c>
      <c r="C109" s="6" t="str">
        <f>VLOOKUP(B109,Справочник!$D$2:$E$119,2,FALSE)</f>
        <v>Шарифзода Шарафчон Шариф</v>
      </c>
      <c r="D109" s="5" t="s">
        <v>528</v>
      </c>
      <c r="E109" s="6" t="s">
        <v>529</v>
      </c>
      <c r="F109" s="7" t="s">
        <v>501</v>
      </c>
      <c r="G109" s="7" t="s">
        <v>501</v>
      </c>
    </row>
    <row r="110" spans="1:7" ht="19.95" customHeight="1" x14ac:dyDescent="0.3">
      <c r="A110" s="5">
        <v>109</v>
      </c>
      <c r="B110" s="5" t="s">
        <v>626</v>
      </c>
      <c r="C110" s="5" t="str">
        <f>VLOOKUP(B110,Справочник!$D$2:$E$119,2,FALSE)</f>
        <v>Шарифов Манучеҳр</v>
      </c>
      <c r="D110" s="5" t="s">
        <v>501</v>
      </c>
      <c r="E110" s="5" t="s">
        <v>627</v>
      </c>
      <c r="F110" s="5" t="s">
        <v>501</v>
      </c>
      <c r="G110" s="5" t="s">
        <v>501</v>
      </c>
    </row>
    <row r="111" spans="1:7" ht="48" customHeight="1" x14ac:dyDescent="0.3">
      <c r="A111" s="6">
        <v>110</v>
      </c>
      <c r="B111" s="5" t="s">
        <v>64</v>
      </c>
      <c r="C111" s="6" t="str">
        <f>VLOOKUP(B111,Справочник!$D$2:$E$119,2,FALSE)</f>
        <v>Шарифов Саидхоча Мамадович</v>
      </c>
      <c r="D111" s="5" t="s">
        <v>502</v>
      </c>
      <c r="E111" s="6" t="s">
        <v>503</v>
      </c>
      <c r="F111" s="7" t="s">
        <v>501</v>
      </c>
      <c r="G111" s="7" t="s">
        <v>501</v>
      </c>
    </row>
    <row r="112" spans="1:7" ht="19.95" customHeight="1" x14ac:dyDescent="0.3">
      <c r="A112" s="5">
        <v>111</v>
      </c>
      <c r="B112" s="5" t="s">
        <v>628</v>
      </c>
      <c r="C112" s="5" t="str">
        <f>VLOOKUP(B112,Справочник!$D$2:$E$119,2,FALSE)</f>
        <v>Шерматов Икром</v>
      </c>
      <c r="D112" s="5" t="s">
        <v>591</v>
      </c>
      <c r="E112" s="5" t="s">
        <v>629</v>
      </c>
      <c r="F112" s="5" t="s">
        <v>501</v>
      </c>
      <c r="G112" s="5" t="s">
        <v>501</v>
      </c>
    </row>
    <row r="113" spans="1:7" ht="19.95" customHeight="1" x14ac:dyDescent="0.3">
      <c r="A113" s="6">
        <v>112</v>
      </c>
      <c r="B113" s="5" t="s">
        <v>630</v>
      </c>
      <c r="C113" s="6" t="str">
        <f>VLOOKUP(B113,Справочник!$D$2:$E$119,2,FALSE)</f>
        <v>Юнусов Фирдавсхон Хайруллоевич</v>
      </c>
      <c r="D113" s="5" t="s">
        <v>542</v>
      </c>
      <c r="E113" s="6" t="s">
        <v>543</v>
      </c>
      <c r="F113" s="7" t="s">
        <v>501</v>
      </c>
      <c r="G113" s="7" t="s">
        <v>501</v>
      </c>
    </row>
    <row r="114" spans="1:7" ht="34.049999999999997" customHeight="1" x14ac:dyDescent="0.3">
      <c r="A114" s="5">
        <v>113</v>
      </c>
      <c r="B114" s="5" t="s">
        <v>631</v>
      </c>
      <c r="C114" s="5" t="str">
        <f>VLOOKUP(B114,Справочник!$D$2:$E$119,2,FALSE)</f>
        <v>Юсупов Бахтиёр</v>
      </c>
      <c r="D114" s="5" t="s">
        <v>528</v>
      </c>
      <c r="E114" s="5" t="s">
        <v>26</v>
      </c>
      <c r="F114" s="5" t="s">
        <v>501</v>
      </c>
      <c r="G114" s="5" t="s">
        <v>501</v>
      </c>
    </row>
    <row r="115" spans="1:7" ht="19.95" customHeight="1" x14ac:dyDescent="0.3">
      <c r="A115" s="6">
        <v>114</v>
      </c>
      <c r="B115" s="5" t="s">
        <v>632</v>
      </c>
      <c r="C115" s="6" t="str">
        <f>VLOOKUP(B115,Справочник!$D$2:$E$119,2,FALSE)</f>
        <v>Юсупов Умарчон</v>
      </c>
      <c r="D115" s="5" t="s">
        <v>501</v>
      </c>
      <c r="E115" s="6" t="s">
        <v>633</v>
      </c>
      <c r="F115" s="7" t="s">
        <v>501</v>
      </c>
      <c r="G115" s="7" t="s">
        <v>501</v>
      </c>
    </row>
    <row r="116" spans="1:7" ht="19.95" customHeight="1" x14ac:dyDescent="0.3">
      <c r="A116" s="5">
        <v>115</v>
      </c>
      <c r="B116" s="5" t="s">
        <v>634</v>
      </c>
      <c r="C116" s="5" t="str">
        <f>VLOOKUP(B116,Справочник!$D$2:$E$119,2,FALSE)</f>
        <v>Nicolas Jegard</v>
      </c>
      <c r="D116" s="5" t="s">
        <v>501</v>
      </c>
      <c r="E116" s="5" t="s">
        <v>633</v>
      </c>
      <c r="F116" s="5" t="s">
        <v>501</v>
      </c>
      <c r="G116" s="5" t="s">
        <v>501</v>
      </c>
    </row>
    <row r="117" spans="1:7" ht="61.95" customHeight="1" x14ac:dyDescent="0.3">
      <c r="A117" s="7">
        <v>116</v>
      </c>
      <c r="B117" s="2" t="s">
        <v>35</v>
      </c>
      <c r="C117" s="7" t="str">
        <f>VLOOKUP(B117,Справочник!$D$2:$E$119,2,FALSE)</f>
        <v>Каримов Дилшодчон Зафарчонович</v>
      </c>
      <c r="D117" s="7" t="s">
        <v>530</v>
      </c>
      <c r="E117" s="7" t="s">
        <v>531</v>
      </c>
      <c r="F117" s="7" t="s">
        <v>7</v>
      </c>
      <c r="G117" s="8"/>
    </row>
    <row r="118" spans="1:7" ht="48" customHeight="1" x14ac:dyDescent="0.3">
      <c r="A118" s="5">
        <v>117</v>
      </c>
      <c r="B118" s="2" t="s">
        <v>70</v>
      </c>
      <c r="C118" s="5" t="str">
        <f>VLOOKUP(B118,Справочник!$D$2:$E$119,2,FALSE)</f>
        <v>Окилов Баротчон Камолович</v>
      </c>
      <c r="D118" s="5" t="s">
        <v>502</v>
      </c>
      <c r="E118" s="5" t="s">
        <v>503</v>
      </c>
      <c r="F118" s="5" t="s">
        <v>501</v>
      </c>
      <c r="G118" s="8"/>
    </row>
    <row r="119" spans="1:7" ht="48" customHeight="1" x14ac:dyDescent="0.3">
      <c r="A119" s="7">
        <v>118</v>
      </c>
      <c r="B119" s="2" t="s">
        <v>80</v>
      </c>
      <c r="C119" s="7" t="str">
        <f>VLOOKUP(B119,Справочник!$D$2:$E$119,2,FALSE)</f>
        <v>Шукурова Мадинахон Анваровна</v>
      </c>
      <c r="D119" s="7" t="s">
        <v>517</v>
      </c>
      <c r="E119" s="7" t="s">
        <v>78</v>
      </c>
      <c r="F119" s="7" t="s">
        <v>7</v>
      </c>
      <c r="G119" s="8"/>
    </row>
  </sheetData>
  <autoFilter ref="A1:G1" xr:uid="{00000000-0009-0000-0000-000003000000}"/>
  <pageMargins left="0.7" right="0.7" top="0.75" bottom="0.75" header="0.3" footer="0.3"/>
  <pageSetup orientation="portrait" useFirstPageNumber="1" horizontalDpi="4294967295" verticalDpi="4294967295" r:id="rId1"/>
  <ignoredErrors>
    <ignoredError sqref="A2:D11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5"/>
  <sheetViews>
    <sheetView tabSelected="1" topLeftCell="E1" zoomScaleNormal="100" workbookViewId="0">
      <pane ySplit="1" topLeftCell="A2" activePane="bottomLeft" state="frozen"/>
      <selection pane="bottomLeft" activeCell="I4" sqref="I4"/>
    </sheetView>
  </sheetViews>
  <sheetFormatPr defaultColWidth="32.6640625" defaultRowHeight="14.4" x14ac:dyDescent="0.3"/>
  <cols>
    <col min="1" max="1" width="15.5546875" style="4" bestFit="1" customWidth="1"/>
    <col min="2" max="2" width="36.5546875" style="4" bestFit="1" customWidth="1"/>
    <col min="3" max="3" width="32.6640625" style="4"/>
    <col min="4" max="4" width="11" style="4" bestFit="1" customWidth="1"/>
    <col min="5" max="5" width="38.6640625" style="4" bestFit="1" customWidth="1"/>
    <col min="6" max="6" width="36.109375" style="4" bestFit="1" customWidth="1"/>
    <col min="7" max="7" width="32.6640625" style="4"/>
    <col min="8" max="8" width="12.77734375" style="4" bestFit="1" customWidth="1"/>
    <col min="9" max="9" width="36" style="4" bestFit="1" customWidth="1"/>
    <col min="10" max="10" width="32.6640625" style="4"/>
    <col min="11" max="11" width="13.6640625" style="4" bestFit="1" customWidth="1"/>
    <col min="12" max="12" width="41.88671875" style="4" bestFit="1" customWidth="1"/>
    <col min="13" max="16384" width="32.6640625" style="4"/>
  </cols>
  <sheetData>
    <row r="1" spans="1:12" ht="30" customHeight="1" x14ac:dyDescent="0.3">
      <c r="A1" s="1" t="s">
        <v>1</v>
      </c>
      <c r="B1" s="1" t="s">
        <v>2</v>
      </c>
      <c r="C1" s="1"/>
      <c r="D1" s="1" t="s">
        <v>492</v>
      </c>
      <c r="E1" s="1" t="s">
        <v>493</v>
      </c>
      <c r="F1" s="3" t="s">
        <v>635</v>
      </c>
      <c r="G1" s="1"/>
      <c r="H1" s="1" t="s">
        <v>81</v>
      </c>
      <c r="I1" s="1" t="s">
        <v>82</v>
      </c>
      <c r="J1" s="1"/>
      <c r="K1" s="1" t="s">
        <v>246</v>
      </c>
      <c r="L1" s="1" t="s">
        <v>247</v>
      </c>
    </row>
    <row r="2" spans="1:12" ht="19.95" customHeight="1" x14ac:dyDescent="0.3">
      <c r="A2" s="2" t="s">
        <v>10</v>
      </c>
      <c r="B2" s="5" t="s">
        <v>11</v>
      </c>
      <c r="C2" s="5"/>
      <c r="D2" s="2" t="s">
        <v>498</v>
      </c>
      <c r="E2" s="5" t="s">
        <v>636</v>
      </c>
      <c r="F2" s="5" t="s">
        <v>501</v>
      </c>
      <c r="G2" s="5"/>
      <c r="H2" s="2" t="s">
        <v>83</v>
      </c>
      <c r="I2" s="5" t="s">
        <v>637</v>
      </c>
      <c r="J2" s="5"/>
      <c r="K2" s="2" t="s">
        <v>248</v>
      </c>
      <c r="L2" s="5" t="s">
        <v>638</v>
      </c>
    </row>
    <row r="3" spans="1:12" ht="19.95" customHeight="1" x14ac:dyDescent="0.3">
      <c r="A3" s="2" t="s">
        <v>14</v>
      </c>
      <c r="B3" s="7" t="s">
        <v>15</v>
      </c>
      <c r="C3" s="7"/>
      <c r="D3" s="2" t="s">
        <v>73</v>
      </c>
      <c r="E3" s="7" t="s">
        <v>639</v>
      </c>
      <c r="F3" s="7" t="s">
        <v>501</v>
      </c>
      <c r="G3" s="7"/>
      <c r="H3" s="2" t="s">
        <v>84</v>
      </c>
      <c r="I3" s="7" t="s">
        <v>640</v>
      </c>
      <c r="J3" s="7"/>
      <c r="K3" s="2" t="s">
        <v>249</v>
      </c>
      <c r="L3" s="7" t="s">
        <v>641</v>
      </c>
    </row>
    <row r="4" spans="1:12" ht="19.95" customHeight="1" x14ac:dyDescent="0.3">
      <c r="A4" s="2" t="s">
        <v>18</v>
      </c>
      <c r="B4" s="5" t="s">
        <v>500</v>
      </c>
      <c r="C4" s="5"/>
      <c r="D4" s="2" t="s">
        <v>504</v>
      </c>
      <c r="E4" s="5" t="s">
        <v>642</v>
      </c>
      <c r="F4" s="5" t="s">
        <v>501</v>
      </c>
      <c r="G4" s="5"/>
      <c r="H4" s="2" t="s">
        <v>85</v>
      </c>
      <c r="I4" s="5" t="s">
        <v>643</v>
      </c>
      <c r="J4" s="5"/>
      <c r="K4" s="2" t="s">
        <v>250</v>
      </c>
      <c r="L4" s="5" t="s">
        <v>644</v>
      </c>
    </row>
    <row r="5" spans="1:12" ht="19.95" customHeight="1" x14ac:dyDescent="0.3">
      <c r="A5" s="2" t="s">
        <v>22</v>
      </c>
      <c r="B5" s="7" t="s">
        <v>506</v>
      </c>
      <c r="C5" s="7"/>
      <c r="D5" s="2" t="s">
        <v>507</v>
      </c>
      <c r="E5" s="7" t="s">
        <v>645</v>
      </c>
      <c r="F5" s="7"/>
      <c r="G5" s="7"/>
      <c r="H5" s="2" t="s">
        <v>86</v>
      </c>
      <c r="I5" s="7" t="s">
        <v>646</v>
      </c>
      <c r="J5" s="7"/>
      <c r="K5" s="2" t="s">
        <v>251</v>
      </c>
      <c r="L5" s="7" t="s">
        <v>647</v>
      </c>
    </row>
    <row r="6" spans="1:12" ht="34.049999999999997" customHeight="1" x14ac:dyDescent="0.3">
      <c r="A6" s="2" t="s">
        <v>25</v>
      </c>
      <c r="B6" s="5" t="s">
        <v>26</v>
      </c>
      <c r="C6" s="5"/>
      <c r="D6" s="2" t="s">
        <v>510</v>
      </c>
      <c r="E6" s="5" t="s">
        <v>648</v>
      </c>
      <c r="F6" s="5" t="s">
        <v>501</v>
      </c>
      <c r="G6" s="5"/>
      <c r="H6" s="2" t="s">
        <v>87</v>
      </c>
      <c r="I6" s="5" t="s">
        <v>649</v>
      </c>
      <c r="J6" s="5"/>
      <c r="K6" s="2" t="s">
        <v>252</v>
      </c>
      <c r="L6" s="5" t="s">
        <v>650</v>
      </c>
    </row>
    <row r="7" spans="1:12" ht="19.95" customHeight="1" x14ac:dyDescent="0.3">
      <c r="A7" s="2" t="s">
        <v>29</v>
      </c>
      <c r="B7" s="7" t="s">
        <v>539</v>
      </c>
      <c r="C7" s="7"/>
      <c r="D7" s="2" t="s">
        <v>55</v>
      </c>
      <c r="E7" s="7" t="s">
        <v>651</v>
      </c>
      <c r="F7" s="7" t="s">
        <v>501</v>
      </c>
      <c r="G7" s="7"/>
      <c r="H7" s="2" t="s">
        <v>88</v>
      </c>
      <c r="I7" s="7" t="s">
        <v>652</v>
      </c>
      <c r="J7" s="7"/>
      <c r="K7" s="2" t="s">
        <v>253</v>
      </c>
      <c r="L7" s="7" t="s">
        <v>653</v>
      </c>
    </row>
    <row r="8" spans="1:12" ht="19.95" customHeight="1" x14ac:dyDescent="0.3">
      <c r="A8" s="2" t="s">
        <v>32</v>
      </c>
      <c r="B8" s="5" t="s">
        <v>509</v>
      </c>
      <c r="C8" s="5"/>
      <c r="D8" s="2" t="s">
        <v>49</v>
      </c>
      <c r="E8" s="5" t="s">
        <v>654</v>
      </c>
      <c r="F8" s="5" t="s">
        <v>501</v>
      </c>
      <c r="G8" s="5"/>
      <c r="H8" s="2" t="s">
        <v>89</v>
      </c>
      <c r="I8" s="5" t="s">
        <v>655</v>
      </c>
      <c r="J8" s="5"/>
      <c r="K8" s="2" t="s">
        <v>254</v>
      </c>
      <c r="L8" s="5" t="s">
        <v>656</v>
      </c>
    </row>
    <row r="9" spans="1:12" ht="19.95" customHeight="1" x14ac:dyDescent="0.3">
      <c r="A9" s="2" t="s">
        <v>36</v>
      </c>
      <c r="B9" s="7" t="s">
        <v>543</v>
      </c>
      <c r="C9" s="7"/>
      <c r="D9" s="2" t="s">
        <v>39</v>
      </c>
      <c r="E9" s="7" t="s">
        <v>657</v>
      </c>
      <c r="F9" s="7" t="s">
        <v>501</v>
      </c>
      <c r="G9" s="7"/>
      <c r="H9" s="2" t="s">
        <v>90</v>
      </c>
      <c r="I9" s="7" t="s">
        <v>658</v>
      </c>
      <c r="J9" s="7"/>
      <c r="K9" s="2" t="s">
        <v>255</v>
      </c>
      <c r="L9" s="7" t="s">
        <v>659</v>
      </c>
    </row>
    <row r="10" spans="1:12" ht="19.95" customHeight="1" x14ac:dyDescent="0.3">
      <c r="A10" s="2" t="s">
        <v>37</v>
      </c>
      <c r="B10" s="5" t="s">
        <v>515</v>
      </c>
      <c r="C10" s="5"/>
      <c r="D10" s="2" t="s">
        <v>516</v>
      </c>
      <c r="E10" s="5" t="s">
        <v>660</v>
      </c>
      <c r="F10" s="5" t="s">
        <v>501</v>
      </c>
      <c r="G10" s="5"/>
      <c r="H10" s="2" t="s">
        <v>91</v>
      </c>
      <c r="I10" s="5" t="s">
        <v>661</v>
      </c>
      <c r="J10" s="5"/>
      <c r="K10" s="2" t="s">
        <v>256</v>
      </c>
      <c r="L10" s="5" t="s">
        <v>662</v>
      </c>
    </row>
    <row r="11" spans="1:12" ht="19.95" customHeight="1" x14ac:dyDescent="0.3">
      <c r="A11" s="2" t="s">
        <v>40</v>
      </c>
      <c r="B11" s="7" t="s">
        <v>567</v>
      </c>
      <c r="C11" s="7"/>
      <c r="D11" s="2" t="s">
        <v>34</v>
      </c>
      <c r="E11" s="7" t="s">
        <v>663</v>
      </c>
      <c r="F11" s="7" t="s">
        <v>501</v>
      </c>
      <c r="G11" s="7"/>
      <c r="H11" s="2" t="s">
        <v>92</v>
      </c>
      <c r="I11" s="7" t="s">
        <v>664</v>
      </c>
      <c r="J11" s="7"/>
      <c r="K11" s="2" t="s">
        <v>257</v>
      </c>
      <c r="L11" s="7" t="s">
        <v>665</v>
      </c>
    </row>
    <row r="12" spans="1:12" ht="19.95" customHeight="1" x14ac:dyDescent="0.3">
      <c r="A12" s="2" t="s">
        <v>44</v>
      </c>
      <c r="B12" s="5" t="s">
        <v>536</v>
      </c>
      <c r="C12" s="5"/>
      <c r="D12" s="2" t="s">
        <v>518</v>
      </c>
      <c r="E12" s="5" t="s">
        <v>666</v>
      </c>
      <c r="F12" s="5" t="s">
        <v>501</v>
      </c>
      <c r="G12" s="5"/>
      <c r="H12" s="2" t="s">
        <v>93</v>
      </c>
      <c r="I12" s="5" t="s">
        <v>667</v>
      </c>
      <c r="J12" s="5"/>
      <c r="K12" s="2" t="s">
        <v>258</v>
      </c>
      <c r="L12" s="5" t="s">
        <v>668</v>
      </c>
    </row>
    <row r="13" spans="1:12" ht="19.95" customHeight="1" x14ac:dyDescent="0.3">
      <c r="A13" s="2" t="s">
        <v>47</v>
      </c>
      <c r="B13" s="7" t="s">
        <v>513</v>
      </c>
      <c r="C13" s="7"/>
      <c r="D13" s="2" t="s">
        <v>519</v>
      </c>
      <c r="E13" s="7" t="s">
        <v>669</v>
      </c>
      <c r="F13" s="7" t="s">
        <v>501</v>
      </c>
      <c r="G13" s="7"/>
      <c r="H13" s="2" t="s">
        <v>94</v>
      </c>
      <c r="I13" s="7" t="s">
        <v>670</v>
      </c>
      <c r="J13" s="7"/>
      <c r="K13" s="2" t="s">
        <v>259</v>
      </c>
      <c r="L13" s="7" t="s">
        <v>671</v>
      </c>
    </row>
    <row r="14" spans="1:12" ht="19.95" customHeight="1" x14ac:dyDescent="0.3">
      <c r="A14" s="2" t="s">
        <v>50</v>
      </c>
      <c r="B14" s="5" t="s">
        <v>672</v>
      </c>
      <c r="C14" s="5"/>
      <c r="D14" s="2" t="s">
        <v>79</v>
      </c>
      <c r="E14" s="5" t="s">
        <v>673</v>
      </c>
      <c r="F14" s="5" t="s">
        <v>501</v>
      </c>
      <c r="G14" s="5"/>
      <c r="H14" s="2" t="s">
        <v>95</v>
      </c>
      <c r="I14" s="5" t="s">
        <v>674</v>
      </c>
      <c r="J14" s="5"/>
      <c r="K14" s="2" t="s">
        <v>260</v>
      </c>
      <c r="L14" s="5" t="s">
        <v>675</v>
      </c>
    </row>
    <row r="15" spans="1:12" ht="19.95" customHeight="1" x14ac:dyDescent="0.3">
      <c r="A15" s="2" t="s">
        <v>53</v>
      </c>
      <c r="B15" s="7" t="s">
        <v>54</v>
      </c>
      <c r="C15" s="7"/>
      <c r="D15" s="2" t="s">
        <v>520</v>
      </c>
      <c r="E15" s="7" t="s">
        <v>676</v>
      </c>
      <c r="F15" s="7" t="s">
        <v>501</v>
      </c>
      <c r="G15" s="7"/>
      <c r="H15" s="2" t="s">
        <v>96</v>
      </c>
      <c r="I15" s="7" t="s">
        <v>677</v>
      </c>
      <c r="J15" s="7"/>
      <c r="K15" s="2" t="s">
        <v>261</v>
      </c>
      <c r="L15" s="7" t="s">
        <v>678</v>
      </c>
    </row>
    <row r="16" spans="1:12" ht="19.95" customHeight="1" x14ac:dyDescent="0.3">
      <c r="A16" s="2" t="s">
        <v>56</v>
      </c>
      <c r="B16" s="5" t="s">
        <v>679</v>
      </c>
      <c r="C16" s="5"/>
      <c r="D16" s="2" t="s">
        <v>521</v>
      </c>
      <c r="E16" s="5" t="s">
        <v>680</v>
      </c>
      <c r="F16" s="5" t="s">
        <v>501</v>
      </c>
      <c r="G16" s="5"/>
      <c r="H16" s="2" t="s">
        <v>97</v>
      </c>
      <c r="I16" s="5" t="s">
        <v>681</v>
      </c>
      <c r="J16" s="5"/>
      <c r="K16" s="2" t="s">
        <v>262</v>
      </c>
      <c r="L16" s="5" t="s">
        <v>682</v>
      </c>
    </row>
    <row r="17" spans="1:12" ht="19.95" customHeight="1" x14ac:dyDescent="0.3">
      <c r="A17" s="2" t="s">
        <v>59</v>
      </c>
      <c r="B17" s="7" t="s">
        <v>534</v>
      </c>
      <c r="C17" s="7"/>
      <c r="D17" s="2" t="s">
        <v>522</v>
      </c>
      <c r="E17" s="7" t="s">
        <v>683</v>
      </c>
      <c r="F17" s="7" t="s">
        <v>501</v>
      </c>
      <c r="G17" s="7"/>
      <c r="H17" s="2" t="s">
        <v>98</v>
      </c>
      <c r="I17" s="7" t="s">
        <v>684</v>
      </c>
      <c r="J17" s="7"/>
      <c r="K17" s="2" t="s">
        <v>263</v>
      </c>
      <c r="L17" s="7" t="s">
        <v>685</v>
      </c>
    </row>
    <row r="18" spans="1:12" ht="19.95" customHeight="1" x14ac:dyDescent="0.3">
      <c r="A18" s="2" t="s">
        <v>62</v>
      </c>
      <c r="B18" s="5" t="s">
        <v>686</v>
      </c>
      <c r="C18" s="5"/>
      <c r="D18" s="2" t="s">
        <v>523</v>
      </c>
      <c r="E18" s="5" t="s">
        <v>687</v>
      </c>
      <c r="F18" s="5" t="s">
        <v>501</v>
      </c>
      <c r="G18" s="5"/>
      <c r="H18" s="2" t="s">
        <v>99</v>
      </c>
      <c r="I18" s="5" t="s">
        <v>688</v>
      </c>
      <c r="J18" s="5"/>
      <c r="K18" s="2" t="s">
        <v>264</v>
      </c>
      <c r="L18" s="5" t="s">
        <v>689</v>
      </c>
    </row>
    <row r="19" spans="1:12" ht="19.95" customHeight="1" x14ac:dyDescent="0.3">
      <c r="A19" s="2" t="s">
        <v>65</v>
      </c>
      <c r="B19" s="7" t="s">
        <v>690</v>
      </c>
      <c r="C19" s="7"/>
      <c r="D19" s="2" t="s">
        <v>524</v>
      </c>
      <c r="E19" s="7" t="s">
        <v>691</v>
      </c>
      <c r="F19" s="7" t="s">
        <v>501</v>
      </c>
      <c r="G19" s="7"/>
      <c r="H19" s="2" t="s">
        <v>100</v>
      </c>
      <c r="I19" s="7" t="s">
        <v>692</v>
      </c>
      <c r="J19" s="7"/>
      <c r="K19" s="2" t="s">
        <v>265</v>
      </c>
      <c r="L19" s="7" t="s">
        <v>693</v>
      </c>
    </row>
    <row r="20" spans="1:12" ht="19.95" customHeight="1" x14ac:dyDescent="0.3">
      <c r="A20" s="2" t="s">
        <v>68</v>
      </c>
      <c r="B20" s="5" t="s">
        <v>694</v>
      </c>
      <c r="C20" s="5"/>
      <c r="D20" s="2" t="s">
        <v>525</v>
      </c>
      <c r="E20" s="5" t="s">
        <v>695</v>
      </c>
      <c r="F20" s="5" t="s">
        <v>501</v>
      </c>
      <c r="G20" s="5"/>
      <c r="H20" s="2" t="s">
        <v>101</v>
      </c>
      <c r="I20" s="5" t="s">
        <v>696</v>
      </c>
      <c r="J20" s="5"/>
      <c r="K20" s="2" t="s">
        <v>266</v>
      </c>
      <c r="L20" s="5" t="s">
        <v>697</v>
      </c>
    </row>
    <row r="21" spans="1:12" ht="19.95" customHeight="1" x14ac:dyDescent="0.3">
      <c r="A21" s="2" t="s">
        <v>71</v>
      </c>
      <c r="B21" s="7" t="s">
        <v>698</v>
      </c>
      <c r="C21" s="7"/>
      <c r="D21" s="2" t="s">
        <v>527</v>
      </c>
      <c r="E21" s="7" t="s">
        <v>699</v>
      </c>
      <c r="F21" s="7" t="s">
        <v>501</v>
      </c>
      <c r="G21" s="7"/>
      <c r="H21" s="2" t="s">
        <v>102</v>
      </c>
      <c r="I21" s="7" t="s">
        <v>700</v>
      </c>
      <c r="J21" s="7"/>
      <c r="K21" s="2" t="s">
        <v>267</v>
      </c>
      <c r="L21" s="7" t="s">
        <v>701</v>
      </c>
    </row>
    <row r="22" spans="1:12" ht="19.95" customHeight="1" x14ac:dyDescent="0.3">
      <c r="A22" s="2" t="s">
        <v>74</v>
      </c>
      <c r="B22" s="5" t="s">
        <v>585</v>
      </c>
      <c r="C22" s="5"/>
      <c r="D22" s="2" t="s">
        <v>17</v>
      </c>
      <c r="E22" s="5" t="s">
        <v>702</v>
      </c>
      <c r="F22" s="5" t="s">
        <v>501</v>
      </c>
      <c r="G22" s="5"/>
      <c r="H22" s="2" t="s">
        <v>103</v>
      </c>
      <c r="I22" s="5" t="s">
        <v>703</v>
      </c>
      <c r="J22" s="5"/>
      <c r="K22" s="2" t="s">
        <v>268</v>
      </c>
      <c r="L22" s="5" t="s">
        <v>704</v>
      </c>
    </row>
    <row r="23" spans="1:12" ht="19.95" customHeight="1" x14ac:dyDescent="0.3">
      <c r="A23" s="2" t="s">
        <v>77</v>
      </c>
      <c r="B23" s="7" t="s">
        <v>78</v>
      </c>
      <c r="C23" s="7"/>
      <c r="D23" s="2" t="s">
        <v>532</v>
      </c>
      <c r="E23" s="7" t="s">
        <v>705</v>
      </c>
      <c r="F23" s="7" t="s">
        <v>501</v>
      </c>
      <c r="G23" s="7"/>
      <c r="H23" s="2" t="s">
        <v>104</v>
      </c>
      <c r="I23" s="7" t="s">
        <v>706</v>
      </c>
      <c r="J23" s="7"/>
      <c r="K23" s="2" t="s">
        <v>269</v>
      </c>
      <c r="L23" s="7" t="s">
        <v>707</v>
      </c>
    </row>
    <row r="24" spans="1:12" ht="19.95" customHeight="1" x14ac:dyDescent="0.3">
      <c r="A24" s="2"/>
      <c r="B24" s="5"/>
      <c r="C24" s="5"/>
      <c r="D24" s="2" t="s">
        <v>46</v>
      </c>
      <c r="E24" s="5" t="s">
        <v>708</v>
      </c>
      <c r="F24" s="5" t="s">
        <v>501</v>
      </c>
      <c r="G24" s="5"/>
      <c r="H24" s="2" t="s">
        <v>105</v>
      </c>
      <c r="I24" s="5" t="s">
        <v>709</v>
      </c>
      <c r="J24" s="5"/>
      <c r="K24" s="2" t="s">
        <v>270</v>
      </c>
      <c r="L24" s="5" t="s">
        <v>710</v>
      </c>
    </row>
    <row r="25" spans="1:12" ht="19.95" customHeight="1" x14ac:dyDescent="0.3">
      <c r="A25" s="2"/>
      <c r="B25" s="7"/>
      <c r="C25" s="7"/>
      <c r="D25" s="2" t="s">
        <v>537</v>
      </c>
      <c r="E25" s="7" t="s">
        <v>711</v>
      </c>
      <c r="F25" s="7" t="s">
        <v>501</v>
      </c>
      <c r="G25" s="7"/>
      <c r="H25" s="2" t="s">
        <v>106</v>
      </c>
      <c r="I25" s="7" t="s">
        <v>712</v>
      </c>
      <c r="J25" s="7"/>
      <c r="K25" s="2" t="s">
        <v>271</v>
      </c>
      <c r="L25" s="7" t="s">
        <v>713</v>
      </c>
    </row>
    <row r="26" spans="1:12" ht="19.95" customHeight="1" x14ac:dyDescent="0.3">
      <c r="A26" s="2"/>
      <c r="B26" s="5"/>
      <c r="C26" s="5"/>
      <c r="D26" s="2" t="s">
        <v>540</v>
      </c>
      <c r="E26" s="5" t="s">
        <v>714</v>
      </c>
      <c r="F26" s="5" t="s">
        <v>501</v>
      </c>
      <c r="G26" s="5"/>
      <c r="H26" s="2" t="s">
        <v>107</v>
      </c>
      <c r="I26" s="5" t="s">
        <v>715</v>
      </c>
      <c r="J26" s="5"/>
      <c r="K26" s="2" t="s">
        <v>272</v>
      </c>
      <c r="L26" s="5" t="s">
        <v>716</v>
      </c>
    </row>
    <row r="27" spans="1:12" ht="19.95" customHeight="1" x14ac:dyDescent="0.3">
      <c r="A27" s="2"/>
      <c r="B27" s="7"/>
      <c r="C27" s="7"/>
      <c r="D27" s="2" t="s">
        <v>541</v>
      </c>
      <c r="E27" s="7" t="s">
        <v>717</v>
      </c>
      <c r="F27" s="7" t="s">
        <v>501</v>
      </c>
      <c r="G27" s="7"/>
      <c r="H27" s="2" t="s">
        <v>108</v>
      </c>
      <c r="I27" s="7" t="s">
        <v>718</v>
      </c>
      <c r="J27" s="7"/>
      <c r="K27" s="2" t="s">
        <v>273</v>
      </c>
      <c r="L27" s="7" t="s">
        <v>719</v>
      </c>
    </row>
    <row r="28" spans="1:12" ht="19.95" customHeight="1" x14ac:dyDescent="0.3">
      <c r="A28" s="2"/>
      <c r="B28" s="5"/>
      <c r="C28" s="5"/>
      <c r="D28" s="2" t="s">
        <v>544</v>
      </c>
      <c r="E28" s="5" t="s">
        <v>720</v>
      </c>
      <c r="F28" s="5" t="s">
        <v>501</v>
      </c>
      <c r="G28" s="5"/>
      <c r="H28" s="2" t="s">
        <v>109</v>
      </c>
      <c r="I28" s="5" t="s">
        <v>721</v>
      </c>
      <c r="J28" s="5"/>
      <c r="K28" s="2" t="s">
        <v>274</v>
      </c>
      <c r="L28" s="5" t="s">
        <v>722</v>
      </c>
    </row>
    <row r="29" spans="1:12" ht="34.049999999999997" customHeight="1" x14ac:dyDescent="0.3">
      <c r="A29" s="2"/>
      <c r="B29" s="7"/>
      <c r="C29" s="7"/>
      <c r="D29" s="2" t="s">
        <v>545</v>
      </c>
      <c r="E29" s="7" t="s">
        <v>723</v>
      </c>
      <c r="F29" s="7" t="s">
        <v>501</v>
      </c>
      <c r="G29" s="7"/>
      <c r="H29" s="2" t="s">
        <v>110</v>
      </c>
      <c r="I29" s="7" t="s">
        <v>724</v>
      </c>
      <c r="J29" s="7"/>
      <c r="K29" s="2" t="s">
        <v>275</v>
      </c>
      <c r="L29" s="7" t="s">
        <v>725</v>
      </c>
    </row>
    <row r="30" spans="1:12" ht="19.95" customHeight="1" x14ac:dyDescent="0.3">
      <c r="A30" s="2"/>
      <c r="B30" s="5"/>
      <c r="C30" s="5"/>
      <c r="D30" s="2" t="s">
        <v>546</v>
      </c>
      <c r="E30" s="5" t="s">
        <v>726</v>
      </c>
      <c r="F30" s="5" t="s">
        <v>501</v>
      </c>
      <c r="G30" s="5"/>
      <c r="H30" s="2" t="s">
        <v>111</v>
      </c>
      <c r="I30" s="5" t="s">
        <v>727</v>
      </c>
      <c r="J30" s="5"/>
      <c r="K30" s="2" t="s">
        <v>276</v>
      </c>
      <c r="L30" s="5" t="s">
        <v>728</v>
      </c>
    </row>
    <row r="31" spans="1:12" ht="19.95" customHeight="1" x14ac:dyDescent="0.3">
      <c r="A31" s="2"/>
      <c r="B31" s="7"/>
      <c r="C31" s="7"/>
      <c r="D31" s="2" t="s">
        <v>547</v>
      </c>
      <c r="E31" s="7" t="s">
        <v>729</v>
      </c>
      <c r="F31" s="7" t="s">
        <v>501</v>
      </c>
      <c r="G31" s="7"/>
      <c r="H31" s="2" t="s">
        <v>112</v>
      </c>
      <c r="I31" s="7" t="s">
        <v>730</v>
      </c>
      <c r="J31" s="7"/>
      <c r="K31" s="2" t="s">
        <v>277</v>
      </c>
      <c r="L31" s="7" t="s">
        <v>731</v>
      </c>
    </row>
    <row r="32" spans="1:12" ht="19.95" customHeight="1" x14ac:dyDescent="0.3">
      <c r="A32" s="2"/>
      <c r="B32" s="5"/>
      <c r="C32" s="5"/>
      <c r="D32" s="2" t="s">
        <v>548</v>
      </c>
      <c r="E32" s="5" t="s">
        <v>732</v>
      </c>
      <c r="F32" s="5" t="s">
        <v>501</v>
      </c>
      <c r="G32" s="5"/>
      <c r="H32" s="2" t="s">
        <v>113</v>
      </c>
      <c r="I32" s="5" t="s">
        <v>733</v>
      </c>
      <c r="J32" s="5"/>
      <c r="K32" s="2" t="s">
        <v>278</v>
      </c>
      <c r="L32" s="5" t="s">
        <v>734</v>
      </c>
    </row>
    <row r="33" spans="1:12" ht="19.95" customHeight="1" x14ac:dyDescent="0.3">
      <c r="A33" s="2"/>
      <c r="B33" s="7"/>
      <c r="C33" s="7"/>
      <c r="D33" s="2" t="s">
        <v>13</v>
      </c>
      <c r="E33" s="7" t="s">
        <v>735</v>
      </c>
      <c r="F33" s="7" t="s">
        <v>501</v>
      </c>
      <c r="G33" s="7"/>
      <c r="H33" s="2" t="s">
        <v>114</v>
      </c>
      <c r="I33" s="7" t="s">
        <v>736</v>
      </c>
      <c r="J33" s="7"/>
      <c r="K33" s="2" t="s">
        <v>279</v>
      </c>
      <c r="L33" s="7" t="s">
        <v>737</v>
      </c>
    </row>
    <row r="34" spans="1:12" ht="19.95" customHeight="1" x14ac:dyDescent="0.3">
      <c r="A34" s="2"/>
      <c r="B34" s="5"/>
      <c r="C34" s="5"/>
      <c r="D34" s="2" t="s">
        <v>549</v>
      </c>
      <c r="E34" s="5" t="s">
        <v>738</v>
      </c>
      <c r="F34" s="5" t="s">
        <v>501</v>
      </c>
      <c r="G34" s="5"/>
      <c r="H34" s="2" t="s">
        <v>115</v>
      </c>
      <c r="I34" s="5" t="s">
        <v>739</v>
      </c>
      <c r="J34" s="5"/>
      <c r="K34" s="2" t="s">
        <v>280</v>
      </c>
      <c r="L34" s="5" t="s">
        <v>740</v>
      </c>
    </row>
    <row r="35" spans="1:12" ht="19.95" customHeight="1" x14ac:dyDescent="0.3">
      <c r="A35" s="2"/>
      <c r="B35" s="7"/>
      <c r="C35" s="7"/>
      <c r="D35" s="2" t="s">
        <v>61</v>
      </c>
      <c r="E35" s="7" t="s">
        <v>741</v>
      </c>
      <c r="F35" s="7" t="s">
        <v>501</v>
      </c>
      <c r="G35" s="7"/>
      <c r="H35" s="2" t="s">
        <v>116</v>
      </c>
      <c r="I35" s="7" t="s">
        <v>742</v>
      </c>
      <c r="J35" s="7"/>
      <c r="K35" s="2" t="s">
        <v>281</v>
      </c>
      <c r="L35" s="7" t="s">
        <v>743</v>
      </c>
    </row>
    <row r="36" spans="1:12" ht="19.95" customHeight="1" x14ac:dyDescent="0.3">
      <c r="A36" s="2"/>
      <c r="B36" s="5"/>
      <c r="C36" s="5"/>
      <c r="D36" s="2" t="s">
        <v>12</v>
      </c>
      <c r="E36" s="5" t="s">
        <v>744</v>
      </c>
      <c r="F36" s="5" t="s">
        <v>501</v>
      </c>
      <c r="G36" s="5"/>
      <c r="H36" s="2" t="s">
        <v>117</v>
      </c>
      <c r="I36" s="5" t="s">
        <v>745</v>
      </c>
      <c r="J36" s="5"/>
      <c r="K36" s="2" t="s">
        <v>282</v>
      </c>
      <c r="L36" s="5" t="s">
        <v>746</v>
      </c>
    </row>
    <row r="37" spans="1:12" ht="19.95" customHeight="1" x14ac:dyDescent="0.3">
      <c r="A37" s="2"/>
      <c r="B37" s="7"/>
      <c r="C37" s="7"/>
      <c r="D37" s="2" t="s">
        <v>551</v>
      </c>
      <c r="E37" s="7" t="s">
        <v>747</v>
      </c>
      <c r="F37" s="7" t="s">
        <v>501</v>
      </c>
      <c r="G37" s="7"/>
      <c r="H37" s="2" t="s">
        <v>118</v>
      </c>
      <c r="I37" s="7" t="s">
        <v>748</v>
      </c>
      <c r="J37" s="7"/>
      <c r="K37" s="2" t="s">
        <v>283</v>
      </c>
      <c r="L37" s="7" t="s">
        <v>749</v>
      </c>
    </row>
    <row r="38" spans="1:12" ht="19.95" customHeight="1" x14ac:dyDescent="0.3">
      <c r="A38" s="2"/>
      <c r="B38" s="5"/>
      <c r="C38" s="5"/>
      <c r="D38" s="2" t="s">
        <v>552</v>
      </c>
      <c r="E38" s="5" t="s">
        <v>750</v>
      </c>
      <c r="F38" s="5" t="s">
        <v>501</v>
      </c>
      <c r="G38" s="5"/>
      <c r="H38" s="2" t="s">
        <v>119</v>
      </c>
      <c r="I38" s="5" t="s">
        <v>751</v>
      </c>
      <c r="J38" s="5"/>
      <c r="K38" s="2" t="s">
        <v>284</v>
      </c>
      <c r="L38" s="5" t="s">
        <v>752</v>
      </c>
    </row>
    <row r="39" spans="1:12" ht="19.95" customHeight="1" x14ac:dyDescent="0.3">
      <c r="A39" s="2"/>
      <c r="B39" s="7"/>
      <c r="C39" s="7"/>
      <c r="D39" s="2" t="s">
        <v>553</v>
      </c>
      <c r="E39" s="7" t="s">
        <v>753</v>
      </c>
      <c r="F39" s="7" t="s">
        <v>501</v>
      </c>
      <c r="G39" s="7"/>
      <c r="H39" s="2" t="s">
        <v>120</v>
      </c>
      <c r="I39" s="7" t="s">
        <v>754</v>
      </c>
      <c r="J39" s="7"/>
      <c r="K39" s="2" t="s">
        <v>285</v>
      </c>
      <c r="L39" s="7" t="s">
        <v>755</v>
      </c>
    </row>
    <row r="40" spans="1:12" ht="19.95" customHeight="1" x14ac:dyDescent="0.3">
      <c r="A40" s="2"/>
      <c r="B40" s="5"/>
      <c r="C40" s="5"/>
      <c r="D40" s="2" t="s">
        <v>554</v>
      </c>
      <c r="E40" s="5" t="s">
        <v>756</v>
      </c>
      <c r="F40" s="5" t="s">
        <v>501</v>
      </c>
      <c r="G40" s="5"/>
      <c r="H40" s="2" t="s">
        <v>121</v>
      </c>
      <c r="I40" s="5" t="s">
        <v>757</v>
      </c>
      <c r="J40" s="5"/>
      <c r="K40" s="2" t="s">
        <v>286</v>
      </c>
      <c r="L40" s="5" t="s">
        <v>758</v>
      </c>
    </row>
    <row r="41" spans="1:12" ht="19.95" customHeight="1" x14ac:dyDescent="0.3">
      <c r="A41" s="2"/>
      <c r="B41" s="7"/>
      <c r="C41" s="7"/>
      <c r="D41" s="2" t="s">
        <v>21</v>
      </c>
      <c r="E41" s="7" t="s">
        <v>759</v>
      </c>
      <c r="F41" s="7" t="s">
        <v>501</v>
      </c>
      <c r="G41" s="7"/>
      <c r="H41" s="2" t="s">
        <v>122</v>
      </c>
      <c r="I41" s="7" t="s">
        <v>760</v>
      </c>
      <c r="J41" s="7"/>
      <c r="K41" s="2" t="s">
        <v>287</v>
      </c>
      <c r="L41" s="7" t="s">
        <v>761</v>
      </c>
    </row>
    <row r="42" spans="1:12" ht="19.95" customHeight="1" x14ac:dyDescent="0.3">
      <c r="A42" s="2"/>
      <c r="B42" s="5"/>
      <c r="C42" s="5"/>
      <c r="D42" s="2" t="s">
        <v>557</v>
      </c>
      <c r="E42" s="5" t="s">
        <v>762</v>
      </c>
      <c r="F42" s="5" t="s">
        <v>501</v>
      </c>
      <c r="G42" s="5"/>
      <c r="H42" s="2" t="s">
        <v>123</v>
      </c>
      <c r="I42" s="5" t="s">
        <v>763</v>
      </c>
      <c r="J42" s="5"/>
      <c r="K42" s="2" t="s">
        <v>288</v>
      </c>
      <c r="L42" s="5" t="s">
        <v>764</v>
      </c>
    </row>
    <row r="43" spans="1:12" ht="19.95" customHeight="1" x14ac:dyDescent="0.3">
      <c r="A43" s="2"/>
      <c r="B43" s="7"/>
      <c r="C43" s="7"/>
      <c r="D43" s="2" t="s">
        <v>558</v>
      </c>
      <c r="E43" s="7" t="s">
        <v>765</v>
      </c>
      <c r="F43" s="7" t="s">
        <v>501</v>
      </c>
      <c r="G43" s="7"/>
      <c r="H43" s="2" t="s">
        <v>124</v>
      </c>
      <c r="I43" s="7" t="s">
        <v>766</v>
      </c>
      <c r="J43" s="7"/>
      <c r="K43" s="2" t="s">
        <v>289</v>
      </c>
      <c r="L43" s="7" t="s">
        <v>767</v>
      </c>
    </row>
    <row r="44" spans="1:12" ht="34.049999999999997" customHeight="1" x14ac:dyDescent="0.3">
      <c r="A44" s="2"/>
      <c r="B44" s="5"/>
      <c r="C44" s="5"/>
      <c r="D44" s="2" t="s">
        <v>559</v>
      </c>
      <c r="E44" s="5" t="s">
        <v>768</v>
      </c>
      <c r="F44" s="5" t="s">
        <v>501</v>
      </c>
      <c r="G44" s="5"/>
      <c r="H44" s="2" t="s">
        <v>125</v>
      </c>
      <c r="I44" s="5" t="s">
        <v>769</v>
      </c>
      <c r="J44" s="5"/>
      <c r="K44" s="2" t="s">
        <v>290</v>
      </c>
      <c r="L44" s="5" t="s">
        <v>770</v>
      </c>
    </row>
    <row r="45" spans="1:12" ht="19.95" customHeight="1" x14ac:dyDescent="0.3">
      <c r="A45" s="2"/>
      <c r="B45" s="7"/>
      <c r="C45" s="7"/>
      <c r="D45" s="2" t="s">
        <v>560</v>
      </c>
      <c r="E45" s="7" t="s">
        <v>771</v>
      </c>
      <c r="F45" s="7" t="s">
        <v>501</v>
      </c>
      <c r="G45" s="7"/>
      <c r="H45" s="2" t="s">
        <v>126</v>
      </c>
      <c r="I45" s="7" t="s">
        <v>772</v>
      </c>
      <c r="J45" s="7"/>
      <c r="K45" s="2" t="s">
        <v>291</v>
      </c>
      <c r="L45" s="7" t="s">
        <v>773</v>
      </c>
    </row>
    <row r="46" spans="1:12" ht="19.95" customHeight="1" x14ac:dyDescent="0.3">
      <c r="A46" s="2"/>
      <c r="B46" s="5"/>
      <c r="C46" s="5"/>
      <c r="D46" s="2" t="s">
        <v>561</v>
      </c>
      <c r="E46" s="5" t="s">
        <v>774</v>
      </c>
      <c r="F46" s="5" t="s">
        <v>501</v>
      </c>
      <c r="G46" s="5"/>
      <c r="H46" s="2" t="s">
        <v>127</v>
      </c>
      <c r="I46" s="5" t="s">
        <v>775</v>
      </c>
      <c r="J46" s="5"/>
      <c r="K46" s="2" t="s">
        <v>292</v>
      </c>
      <c r="L46" s="5" t="s">
        <v>776</v>
      </c>
    </row>
    <row r="47" spans="1:12" ht="19.95" customHeight="1" x14ac:dyDescent="0.3">
      <c r="A47" s="2"/>
      <c r="B47" s="7"/>
      <c r="C47" s="7"/>
      <c r="D47" s="2" t="s">
        <v>562</v>
      </c>
      <c r="E47" s="7" t="s">
        <v>777</v>
      </c>
      <c r="F47" s="7" t="s">
        <v>501</v>
      </c>
      <c r="G47" s="7"/>
      <c r="H47" s="2" t="s">
        <v>128</v>
      </c>
      <c r="I47" s="7" t="s">
        <v>778</v>
      </c>
      <c r="J47" s="7"/>
      <c r="K47" s="2" t="s">
        <v>293</v>
      </c>
      <c r="L47" s="7" t="s">
        <v>779</v>
      </c>
    </row>
    <row r="48" spans="1:12" ht="19.95" customHeight="1" x14ac:dyDescent="0.3">
      <c r="A48" s="2"/>
      <c r="B48" s="5"/>
      <c r="C48" s="5"/>
      <c r="D48" s="2" t="s">
        <v>565</v>
      </c>
      <c r="E48" s="5" t="s">
        <v>780</v>
      </c>
      <c r="F48" s="5" t="s">
        <v>501</v>
      </c>
      <c r="G48" s="5"/>
      <c r="H48" s="2" t="s">
        <v>129</v>
      </c>
      <c r="I48" s="5" t="s">
        <v>781</v>
      </c>
      <c r="J48" s="5"/>
      <c r="K48" s="2" t="s">
        <v>294</v>
      </c>
      <c r="L48" s="5" t="s">
        <v>782</v>
      </c>
    </row>
    <row r="49" spans="1:12" ht="19.95" customHeight="1" x14ac:dyDescent="0.3">
      <c r="A49" s="2"/>
      <c r="B49" s="7"/>
      <c r="C49" s="7"/>
      <c r="D49" s="2" t="s">
        <v>568</v>
      </c>
      <c r="E49" s="7" t="s">
        <v>783</v>
      </c>
      <c r="F49" s="7" t="s">
        <v>501</v>
      </c>
      <c r="G49" s="7"/>
      <c r="H49" s="2" t="s">
        <v>130</v>
      </c>
      <c r="I49" s="7" t="s">
        <v>784</v>
      </c>
      <c r="J49" s="7"/>
      <c r="K49" s="2" t="s">
        <v>295</v>
      </c>
      <c r="L49" s="7" t="s">
        <v>785</v>
      </c>
    </row>
    <row r="50" spans="1:12" ht="19.95" customHeight="1" x14ac:dyDescent="0.3">
      <c r="A50" s="2"/>
      <c r="B50" s="5"/>
      <c r="C50" s="5"/>
      <c r="D50" s="2" t="s">
        <v>569</v>
      </c>
      <c r="E50" s="5" t="s">
        <v>786</v>
      </c>
      <c r="F50" s="5" t="s">
        <v>501</v>
      </c>
      <c r="G50" s="5"/>
      <c r="H50" s="2" t="s">
        <v>131</v>
      </c>
      <c r="I50" s="5" t="s">
        <v>787</v>
      </c>
      <c r="J50" s="5"/>
      <c r="K50" s="2" t="s">
        <v>296</v>
      </c>
      <c r="L50" s="5" t="s">
        <v>788</v>
      </c>
    </row>
    <row r="51" spans="1:12" ht="19.95" customHeight="1" x14ac:dyDescent="0.3">
      <c r="A51" s="2"/>
      <c r="B51" s="7"/>
      <c r="C51" s="7"/>
      <c r="D51" s="2" t="s">
        <v>570</v>
      </c>
      <c r="E51" s="7" t="s">
        <v>789</v>
      </c>
      <c r="F51" s="7" t="s">
        <v>501</v>
      </c>
      <c r="G51" s="7"/>
      <c r="H51" s="2" t="s">
        <v>132</v>
      </c>
      <c r="I51" s="7" t="s">
        <v>790</v>
      </c>
      <c r="J51" s="7"/>
      <c r="K51" s="2" t="s">
        <v>297</v>
      </c>
      <c r="L51" s="7" t="s">
        <v>791</v>
      </c>
    </row>
    <row r="52" spans="1:12" ht="19.95" customHeight="1" x14ac:dyDescent="0.3">
      <c r="A52" s="2"/>
      <c r="B52" s="5"/>
      <c r="C52" s="5"/>
      <c r="D52" s="2" t="s">
        <v>571</v>
      </c>
      <c r="E52" s="5" t="s">
        <v>792</v>
      </c>
      <c r="F52" s="5" t="s">
        <v>501</v>
      </c>
      <c r="G52" s="5"/>
      <c r="H52" s="2" t="s">
        <v>133</v>
      </c>
      <c r="I52" s="5" t="s">
        <v>793</v>
      </c>
      <c r="J52" s="5"/>
      <c r="K52" s="2" t="s">
        <v>298</v>
      </c>
      <c r="L52" s="5" t="s">
        <v>794</v>
      </c>
    </row>
    <row r="53" spans="1:12" ht="19.95" customHeight="1" x14ac:dyDescent="0.3">
      <c r="A53" s="2"/>
      <c r="B53" s="7"/>
      <c r="C53" s="7"/>
      <c r="D53" s="2" t="s">
        <v>572</v>
      </c>
      <c r="E53" s="7" t="s">
        <v>795</v>
      </c>
      <c r="F53" s="7" t="s">
        <v>501</v>
      </c>
      <c r="G53" s="7"/>
      <c r="H53" s="2" t="s">
        <v>134</v>
      </c>
      <c r="I53" s="7" t="s">
        <v>796</v>
      </c>
      <c r="J53" s="7"/>
      <c r="K53" s="2" t="s">
        <v>299</v>
      </c>
      <c r="L53" s="7" t="s">
        <v>797</v>
      </c>
    </row>
    <row r="54" spans="1:12" ht="19.95" customHeight="1" x14ac:dyDescent="0.3">
      <c r="A54" s="2"/>
      <c r="B54" s="5"/>
      <c r="C54" s="5"/>
      <c r="D54" s="2" t="s">
        <v>573</v>
      </c>
      <c r="E54" s="5" t="s">
        <v>798</v>
      </c>
      <c r="F54" s="5" t="s">
        <v>501</v>
      </c>
      <c r="G54" s="5"/>
      <c r="H54" s="2" t="s">
        <v>135</v>
      </c>
      <c r="I54" s="5" t="s">
        <v>799</v>
      </c>
      <c r="J54" s="5"/>
      <c r="K54" s="2" t="s">
        <v>300</v>
      </c>
      <c r="L54" s="5" t="s">
        <v>800</v>
      </c>
    </row>
    <row r="55" spans="1:12" ht="19.95" customHeight="1" x14ac:dyDescent="0.3">
      <c r="A55" s="2"/>
      <c r="B55" s="7"/>
      <c r="C55" s="7"/>
      <c r="D55" s="2" t="s">
        <v>575</v>
      </c>
      <c r="E55" s="7" t="s">
        <v>801</v>
      </c>
      <c r="F55" s="7" t="s">
        <v>501</v>
      </c>
      <c r="G55" s="7"/>
      <c r="H55" s="2" t="s">
        <v>136</v>
      </c>
      <c r="I55" s="7" t="s">
        <v>802</v>
      </c>
      <c r="J55" s="7"/>
      <c r="K55" s="2" t="s">
        <v>301</v>
      </c>
      <c r="L55" s="7" t="s">
        <v>803</v>
      </c>
    </row>
    <row r="56" spans="1:12" ht="19.95" customHeight="1" x14ac:dyDescent="0.3">
      <c r="A56" s="2"/>
      <c r="B56" s="5"/>
      <c r="C56" s="5"/>
      <c r="D56" s="2" t="s">
        <v>576</v>
      </c>
      <c r="E56" s="5" t="s">
        <v>804</v>
      </c>
      <c r="F56" s="5" t="s">
        <v>501</v>
      </c>
      <c r="G56" s="5"/>
      <c r="H56" s="2" t="s">
        <v>137</v>
      </c>
      <c r="I56" s="5" t="s">
        <v>805</v>
      </c>
      <c r="J56" s="5"/>
      <c r="K56" s="2" t="s">
        <v>302</v>
      </c>
      <c r="L56" s="5" t="s">
        <v>806</v>
      </c>
    </row>
    <row r="57" spans="1:12" ht="19.95" customHeight="1" x14ac:dyDescent="0.3">
      <c r="A57" s="2"/>
      <c r="B57" s="7"/>
      <c r="C57" s="7"/>
      <c r="D57" s="2" t="s">
        <v>577</v>
      </c>
      <c r="E57" s="7" t="s">
        <v>807</v>
      </c>
      <c r="F57" s="7" t="s">
        <v>501</v>
      </c>
      <c r="G57" s="7"/>
      <c r="H57" s="2" t="s">
        <v>138</v>
      </c>
      <c r="I57" s="7" t="s">
        <v>808</v>
      </c>
      <c r="J57" s="7"/>
      <c r="K57" s="2" t="s">
        <v>303</v>
      </c>
      <c r="L57" s="7" t="s">
        <v>809</v>
      </c>
    </row>
    <row r="58" spans="1:12" ht="19.95" customHeight="1" x14ac:dyDescent="0.3">
      <c r="A58" s="2"/>
      <c r="B58" s="5"/>
      <c r="C58" s="5"/>
      <c r="D58" s="2" t="s">
        <v>578</v>
      </c>
      <c r="E58" s="5" t="s">
        <v>810</v>
      </c>
      <c r="F58" s="5" t="s">
        <v>501</v>
      </c>
      <c r="G58" s="5"/>
      <c r="H58" s="2" t="s">
        <v>139</v>
      </c>
      <c r="I58" s="5" t="s">
        <v>811</v>
      </c>
      <c r="J58" s="5"/>
      <c r="K58" s="2" t="s">
        <v>304</v>
      </c>
      <c r="L58" s="5" t="s">
        <v>812</v>
      </c>
    </row>
    <row r="59" spans="1:12" ht="19.95" customHeight="1" x14ac:dyDescent="0.3">
      <c r="A59" s="2"/>
      <c r="B59" s="7"/>
      <c r="C59" s="7"/>
      <c r="D59" s="2" t="s">
        <v>579</v>
      </c>
      <c r="E59" s="7" t="s">
        <v>813</v>
      </c>
      <c r="F59" s="7" t="s">
        <v>501</v>
      </c>
      <c r="G59" s="7"/>
      <c r="H59" s="2" t="s">
        <v>140</v>
      </c>
      <c r="I59" s="7" t="s">
        <v>814</v>
      </c>
      <c r="J59" s="7"/>
      <c r="K59" s="2" t="s">
        <v>305</v>
      </c>
      <c r="L59" s="7" t="s">
        <v>815</v>
      </c>
    </row>
    <row r="60" spans="1:12" ht="34.049999999999997" customHeight="1" x14ac:dyDescent="0.3">
      <c r="A60" s="2"/>
      <c r="B60" s="5"/>
      <c r="C60" s="5"/>
      <c r="D60" s="2" t="s">
        <v>580</v>
      </c>
      <c r="E60" s="5" t="s">
        <v>816</v>
      </c>
      <c r="F60" s="5" t="s">
        <v>501</v>
      </c>
      <c r="G60" s="5"/>
      <c r="H60" s="2" t="s">
        <v>141</v>
      </c>
      <c r="I60" s="5" t="s">
        <v>817</v>
      </c>
      <c r="J60" s="5"/>
      <c r="K60" s="2" t="s">
        <v>306</v>
      </c>
      <c r="L60" s="5" t="s">
        <v>818</v>
      </c>
    </row>
    <row r="61" spans="1:12" ht="19.95" customHeight="1" x14ac:dyDescent="0.3">
      <c r="A61" s="2"/>
      <c r="B61" s="7"/>
      <c r="C61" s="7"/>
      <c r="D61" s="2" t="s">
        <v>581</v>
      </c>
      <c r="E61" s="7" t="s">
        <v>819</v>
      </c>
      <c r="F61" s="7" t="s">
        <v>501</v>
      </c>
      <c r="G61" s="7"/>
      <c r="H61" s="2" t="s">
        <v>142</v>
      </c>
      <c r="I61" s="7" t="s">
        <v>820</v>
      </c>
      <c r="J61" s="7"/>
      <c r="K61" s="2" t="s">
        <v>307</v>
      </c>
      <c r="L61" s="7" t="s">
        <v>821</v>
      </c>
    </row>
    <row r="62" spans="1:12" ht="19.95" customHeight="1" x14ac:dyDescent="0.3">
      <c r="A62" s="2"/>
      <c r="B62" s="5"/>
      <c r="C62" s="5"/>
      <c r="D62" s="2" t="s">
        <v>582</v>
      </c>
      <c r="E62" s="5" t="s">
        <v>822</v>
      </c>
      <c r="F62" s="5" t="s">
        <v>501</v>
      </c>
      <c r="G62" s="5"/>
      <c r="H62" s="2" t="s">
        <v>143</v>
      </c>
      <c r="I62" s="5" t="s">
        <v>823</v>
      </c>
      <c r="J62" s="5"/>
      <c r="K62" s="2" t="s">
        <v>308</v>
      </c>
      <c r="L62" s="5" t="s">
        <v>824</v>
      </c>
    </row>
    <row r="63" spans="1:12" ht="19.95" customHeight="1" x14ac:dyDescent="0.3">
      <c r="A63" s="2"/>
      <c r="B63" s="7"/>
      <c r="C63" s="7"/>
      <c r="D63" s="2" t="s">
        <v>583</v>
      </c>
      <c r="E63" s="7" t="s">
        <v>825</v>
      </c>
      <c r="F63" s="7" t="s">
        <v>501</v>
      </c>
      <c r="G63" s="7"/>
      <c r="H63" s="2" t="s">
        <v>144</v>
      </c>
      <c r="I63" s="7" t="s">
        <v>826</v>
      </c>
      <c r="J63" s="7"/>
      <c r="K63" s="2" t="s">
        <v>309</v>
      </c>
      <c r="L63" s="7" t="s">
        <v>827</v>
      </c>
    </row>
    <row r="64" spans="1:12" ht="19.95" customHeight="1" x14ac:dyDescent="0.3">
      <c r="A64" s="2"/>
      <c r="B64" s="5"/>
      <c r="C64" s="5"/>
      <c r="D64" s="2" t="s">
        <v>24</v>
      </c>
      <c r="E64" s="5" t="s">
        <v>828</v>
      </c>
      <c r="F64" s="5" t="s">
        <v>501</v>
      </c>
      <c r="G64" s="5"/>
      <c r="H64" s="2" t="s">
        <v>145</v>
      </c>
      <c r="I64" s="5" t="s">
        <v>829</v>
      </c>
      <c r="J64" s="5"/>
      <c r="K64" s="2" t="s">
        <v>310</v>
      </c>
      <c r="L64" s="5" t="s">
        <v>830</v>
      </c>
    </row>
    <row r="65" spans="1:12" ht="19.95" customHeight="1" x14ac:dyDescent="0.3">
      <c r="A65" s="2"/>
      <c r="B65" s="7"/>
      <c r="C65" s="7"/>
      <c r="D65" s="2" t="s">
        <v>76</v>
      </c>
      <c r="E65" s="7" t="s">
        <v>831</v>
      </c>
      <c r="F65" s="7" t="s">
        <v>501</v>
      </c>
      <c r="G65" s="7"/>
      <c r="H65" s="2" t="s">
        <v>146</v>
      </c>
      <c r="I65" s="7" t="s">
        <v>832</v>
      </c>
      <c r="J65" s="7"/>
      <c r="K65" s="2" t="s">
        <v>311</v>
      </c>
      <c r="L65" s="7" t="s">
        <v>833</v>
      </c>
    </row>
    <row r="66" spans="1:12" ht="19.95" customHeight="1" x14ac:dyDescent="0.3">
      <c r="A66" s="2"/>
      <c r="B66" s="5"/>
      <c r="C66" s="5"/>
      <c r="D66" s="2" t="s">
        <v>586</v>
      </c>
      <c r="E66" s="5" t="s">
        <v>834</v>
      </c>
      <c r="F66" s="5" t="s">
        <v>501</v>
      </c>
      <c r="G66" s="5"/>
      <c r="H66" s="2" t="s">
        <v>147</v>
      </c>
      <c r="I66" s="5" t="s">
        <v>835</v>
      </c>
      <c r="J66" s="5"/>
      <c r="K66" s="2" t="s">
        <v>312</v>
      </c>
      <c r="L66" s="5" t="s">
        <v>836</v>
      </c>
    </row>
    <row r="67" spans="1:12" ht="19.95" customHeight="1" x14ac:dyDescent="0.3">
      <c r="A67" s="2"/>
      <c r="B67" s="7"/>
      <c r="C67" s="7"/>
      <c r="D67" s="2" t="s">
        <v>587</v>
      </c>
      <c r="E67" s="7" t="s">
        <v>837</v>
      </c>
      <c r="F67" s="7" t="s">
        <v>501</v>
      </c>
      <c r="G67" s="7"/>
      <c r="H67" s="2" t="s">
        <v>148</v>
      </c>
      <c r="I67" s="7" t="s">
        <v>838</v>
      </c>
      <c r="J67" s="7"/>
      <c r="K67" s="2" t="s">
        <v>313</v>
      </c>
      <c r="L67" s="7" t="s">
        <v>839</v>
      </c>
    </row>
    <row r="68" spans="1:12" ht="19.95" customHeight="1" x14ac:dyDescent="0.3">
      <c r="A68" s="2"/>
      <c r="B68" s="5"/>
      <c r="C68" s="5"/>
      <c r="D68" s="2" t="s">
        <v>588</v>
      </c>
      <c r="E68" s="5" t="s">
        <v>840</v>
      </c>
      <c r="F68" s="5" t="s">
        <v>501</v>
      </c>
      <c r="G68" s="5"/>
      <c r="H68" s="2" t="s">
        <v>149</v>
      </c>
      <c r="I68" s="5" t="s">
        <v>841</v>
      </c>
      <c r="J68" s="5"/>
      <c r="K68" s="2" t="s">
        <v>314</v>
      </c>
      <c r="L68" s="5" t="s">
        <v>842</v>
      </c>
    </row>
    <row r="69" spans="1:12" ht="19.95" customHeight="1" x14ac:dyDescent="0.3">
      <c r="A69" s="2"/>
      <c r="B69" s="7"/>
      <c r="C69" s="7"/>
      <c r="D69" s="2" t="s">
        <v>52</v>
      </c>
      <c r="E69" s="7" t="s">
        <v>843</v>
      </c>
      <c r="F69" s="7" t="s">
        <v>501</v>
      </c>
      <c r="G69" s="7"/>
      <c r="H69" s="2" t="s">
        <v>150</v>
      </c>
      <c r="I69" s="7" t="s">
        <v>844</v>
      </c>
      <c r="J69" s="7"/>
      <c r="K69" s="2" t="s">
        <v>315</v>
      </c>
      <c r="L69" s="7" t="s">
        <v>845</v>
      </c>
    </row>
    <row r="70" spans="1:12" ht="19.95" customHeight="1" x14ac:dyDescent="0.3">
      <c r="A70" s="2"/>
      <c r="B70" s="5"/>
      <c r="C70" s="5"/>
      <c r="D70" s="2" t="s">
        <v>589</v>
      </c>
      <c r="E70" s="5" t="s">
        <v>846</v>
      </c>
      <c r="F70" s="5" t="s">
        <v>501</v>
      </c>
      <c r="G70" s="5"/>
      <c r="H70" s="2" t="s">
        <v>151</v>
      </c>
      <c r="I70" s="5" t="s">
        <v>847</v>
      </c>
      <c r="J70" s="5"/>
      <c r="K70" s="2" t="s">
        <v>316</v>
      </c>
      <c r="L70" s="5" t="s">
        <v>848</v>
      </c>
    </row>
    <row r="71" spans="1:12" ht="19.95" customHeight="1" x14ac:dyDescent="0.3">
      <c r="A71" s="2"/>
      <c r="B71" s="7"/>
      <c r="C71" s="7"/>
      <c r="D71" s="2" t="s">
        <v>590</v>
      </c>
      <c r="E71" s="7" t="s">
        <v>849</v>
      </c>
      <c r="F71" s="7" t="s">
        <v>501</v>
      </c>
      <c r="G71" s="7"/>
      <c r="H71" s="2" t="s">
        <v>152</v>
      </c>
      <c r="I71" s="7" t="s">
        <v>850</v>
      </c>
      <c r="J71" s="7"/>
      <c r="K71" s="2" t="s">
        <v>317</v>
      </c>
      <c r="L71" s="7" t="s">
        <v>851</v>
      </c>
    </row>
    <row r="72" spans="1:12" ht="19.95" customHeight="1" x14ac:dyDescent="0.3">
      <c r="A72" s="2"/>
      <c r="B72" s="5"/>
      <c r="C72" s="5"/>
      <c r="D72" s="2" t="s">
        <v>592</v>
      </c>
      <c r="E72" s="5" t="s">
        <v>852</v>
      </c>
      <c r="F72" s="5" t="s">
        <v>501</v>
      </c>
      <c r="G72" s="5"/>
      <c r="H72" s="2" t="s">
        <v>153</v>
      </c>
      <c r="I72" s="5" t="s">
        <v>853</v>
      </c>
      <c r="J72" s="5"/>
      <c r="K72" s="2" t="s">
        <v>318</v>
      </c>
      <c r="L72" s="5" t="s">
        <v>854</v>
      </c>
    </row>
    <row r="73" spans="1:12" ht="19.95" customHeight="1" x14ac:dyDescent="0.3">
      <c r="A73" s="2"/>
      <c r="B73" s="7"/>
      <c r="C73" s="7"/>
      <c r="D73" s="2" t="s">
        <v>593</v>
      </c>
      <c r="E73" s="7" t="s">
        <v>855</v>
      </c>
      <c r="F73" s="7" t="s">
        <v>501</v>
      </c>
      <c r="G73" s="7"/>
      <c r="H73" s="2" t="s">
        <v>154</v>
      </c>
      <c r="I73" s="7" t="s">
        <v>856</v>
      </c>
      <c r="J73" s="7"/>
      <c r="K73" s="2" t="s">
        <v>319</v>
      </c>
      <c r="L73" s="7" t="s">
        <v>857</v>
      </c>
    </row>
    <row r="74" spans="1:12" ht="19.95" customHeight="1" x14ac:dyDescent="0.3">
      <c r="A74" s="2"/>
      <c r="B74" s="5"/>
      <c r="C74" s="5"/>
      <c r="D74" s="2" t="s">
        <v>16</v>
      </c>
      <c r="E74" s="5" t="s">
        <v>858</v>
      </c>
      <c r="F74" s="5" t="s">
        <v>501</v>
      </c>
      <c r="G74" s="5"/>
      <c r="H74" s="2" t="s">
        <v>155</v>
      </c>
      <c r="I74" s="5" t="s">
        <v>859</v>
      </c>
      <c r="J74" s="5"/>
      <c r="K74" s="2" t="s">
        <v>320</v>
      </c>
      <c r="L74" s="5" t="s">
        <v>860</v>
      </c>
    </row>
    <row r="75" spans="1:12" ht="19.95" customHeight="1" x14ac:dyDescent="0.3">
      <c r="A75" s="2"/>
      <c r="B75" s="7"/>
      <c r="C75" s="7"/>
      <c r="D75" s="2" t="s">
        <v>595</v>
      </c>
      <c r="E75" s="7" t="s">
        <v>861</v>
      </c>
      <c r="F75" s="7" t="s">
        <v>501</v>
      </c>
      <c r="G75" s="7"/>
      <c r="H75" s="2" t="s">
        <v>156</v>
      </c>
      <c r="I75" s="7" t="s">
        <v>862</v>
      </c>
      <c r="J75" s="7"/>
      <c r="K75" s="2" t="s">
        <v>321</v>
      </c>
      <c r="L75" s="7" t="s">
        <v>863</v>
      </c>
    </row>
    <row r="76" spans="1:12" ht="19.95" customHeight="1" x14ac:dyDescent="0.3">
      <c r="A76" s="2"/>
      <c r="B76" s="5"/>
      <c r="C76" s="5"/>
      <c r="D76" s="2" t="s">
        <v>596</v>
      </c>
      <c r="E76" s="5" t="s">
        <v>864</v>
      </c>
      <c r="F76" s="5" t="s">
        <v>501</v>
      </c>
      <c r="G76" s="5"/>
      <c r="H76" s="2" t="s">
        <v>157</v>
      </c>
      <c r="I76" s="5" t="s">
        <v>865</v>
      </c>
      <c r="J76" s="5"/>
      <c r="K76" s="2" t="s">
        <v>322</v>
      </c>
      <c r="L76" s="5" t="s">
        <v>866</v>
      </c>
    </row>
    <row r="77" spans="1:12" ht="19.95" customHeight="1" x14ac:dyDescent="0.3">
      <c r="A77" s="2"/>
      <c r="B77" s="7"/>
      <c r="C77" s="7"/>
      <c r="D77" s="2" t="s">
        <v>598</v>
      </c>
      <c r="E77" s="7" t="s">
        <v>867</v>
      </c>
      <c r="F77" s="7" t="s">
        <v>501</v>
      </c>
      <c r="G77" s="7"/>
      <c r="H77" s="2" t="s">
        <v>158</v>
      </c>
      <c r="I77" s="7" t="s">
        <v>868</v>
      </c>
      <c r="J77" s="7"/>
      <c r="K77" s="2" t="s">
        <v>323</v>
      </c>
      <c r="L77" s="7" t="s">
        <v>869</v>
      </c>
    </row>
    <row r="78" spans="1:12" ht="19.95" customHeight="1" x14ac:dyDescent="0.3">
      <c r="A78" s="2"/>
      <c r="B78" s="5"/>
      <c r="C78" s="5"/>
      <c r="D78" s="2" t="s">
        <v>599</v>
      </c>
      <c r="E78" s="5" t="s">
        <v>870</v>
      </c>
      <c r="F78" s="5" t="s">
        <v>501</v>
      </c>
      <c r="G78" s="5"/>
      <c r="H78" s="2" t="s">
        <v>159</v>
      </c>
      <c r="I78" s="5" t="s">
        <v>871</v>
      </c>
      <c r="J78" s="5"/>
      <c r="K78" s="2" t="s">
        <v>324</v>
      </c>
      <c r="L78" s="5" t="s">
        <v>872</v>
      </c>
    </row>
    <row r="79" spans="1:12" ht="19.95" customHeight="1" x14ac:dyDescent="0.3">
      <c r="A79" s="2"/>
      <c r="B79" s="7"/>
      <c r="C79" s="7"/>
      <c r="D79" s="2" t="s">
        <v>600</v>
      </c>
      <c r="E79" s="7" t="s">
        <v>873</v>
      </c>
      <c r="F79" s="7" t="s">
        <v>501</v>
      </c>
      <c r="G79" s="7"/>
      <c r="H79" s="2" t="s">
        <v>160</v>
      </c>
      <c r="I79" s="7" t="s">
        <v>874</v>
      </c>
      <c r="J79" s="7"/>
      <c r="K79" s="2" t="s">
        <v>325</v>
      </c>
      <c r="L79" s="7" t="s">
        <v>875</v>
      </c>
    </row>
    <row r="80" spans="1:12" ht="19.95" customHeight="1" x14ac:dyDescent="0.3">
      <c r="A80" s="2"/>
      <c r="B80" s="5"/>
      <c r="C80" s="5"/>
      <c r="D80" s="2" t="s">
        <v>42</v>
      </c>
      <c r="E80" s="5" t="s">
        <v>876</v>
      </c>
      <c r="F80" s="5" t="s">
        <v>501</v>
      </c>
      <c r="G80" s="5"/>
      <c r="H80" s="2" t="s">
        <v>161</v>
      </c>
      <c r="I80" s="5" t="s">
        <v>877</v>
      </c>
      <c r="J80" s="5"/>
      <c r="K80" s="2" t="s">
        <v>326</v>
      </c>
      <c r="L80" s="5" t="s">
        <v>878</v>
      </c>
    </row>
    <row r="81" spans="1:12" ht="19.95" customHeight="1" x14ac:dyDescent="0.3">
      <c r="A81" s="2"/>
      <c r="B81" s="7"/>
      <c r="C81" s="7"/>
      <c r="D81" s="2" t="s">
        <v>27</v>
      </c>
      <c r="E81" s="7" t="s">
        <v>879</v>
      </c>
      <c r="F81" s="7" t="s">
        <v>501</v>
      </c>
      <c r="G81" s="7"/>
      <c r="H81" s="2" t="s">
        <v>162</v>
      </c>
      <c r="I81" s="7" t="s">
        <v>880</v>
      </c>
      <c r="J81" s="7"/>
      <c r="K81" s="2" t="s">
        <v>327</v>
      </c>
      <c r="L81" s="7" t="s">
        <v>881</v>
      </c>
    </row>
    <row r="82" spans="1:12" ht="19.95" customHeight="1" x14ac:dyDescent="0.3">
      <c r="A82" s="2"/>
      <c r="B82" s="5"/>
      <c r="C82" s="5"/>
      <c r="D82" s="2" t="s">
        <v>601</v>
      </c>
      <c r="E82" s="5" t="s">
        <v>882</v>
      </c>
      <c r="F82" s="5" t="s">
        <v>501</v>
      </c>
      <c r="G82" s="5"/>
      <c r="H82" s="2" t="s">
        <v>163</v>
      </c>
      <c r="I82" s="5" t="s">
        <v>883</v>
      </c>
      <c r="J82" s="5"/>
      <c r="K82" s="2" t="s">
        <v>328</v>
      </c>
      <c r="L82" s="5" t="s">
        <v>884</v>
      </c>
    </row>
    <row r="83" spans="1:12" ht="19.95" customHeight="1" x14ac:dyDescent="0.3">
      <c r="A83" s="2"/>
      <c r="B83" s="7"/>
      <c r="C83" s="7"/>
      <c r="D83" s="2" t="s">
        <v>602</v>
      </c>
      <c r="E83" s="7" t="s">
        <v>885</v>
      </c>
      <c r="F83" s="7" t="s">
        <v>501</v>
      </c>
      <c r="G83" s="7"/>
      <c r="H83" s="2" t="s">
        <v>164</v>
      </c>
      <c r="I83" s="7" t="s">
        <v>886</v>
      </c>
      <c r="J83" s="7"/>
      <c r="K83" s="2" t="s">
        <v>329</v>
      </c>
      <c r="L83" s="7" t="s">
        <v>887</v>
      </c>
    </row>
    <row r="84" spans="1:12" ht="19.95" customHeight="1" x14ac:dyDescent="0.3">
      <c r="A84" s="2"/>
      <c r="B84" s="5"/>
      <c r="C84" s="5"/>
      <c r="D84" s="2" t="s">
        <v>43</v>
      </c>
      <c r="E84" s="5" t="s">
        <v>888</v>
      </c>
      <c r="F84" s="5" t="s">
        <v>501</v>
      </c>
      <c r="G84" s="5"/>
      <c r="H84" s="2" t="s">
        <v>165</v>
      </c>
      <c r="I84" s="5" t="s">
        <v>889</v>
      </c>
      <c r="J84" s="5"/>
      <c r="K84" s="2" t="s">
        <v>330</v>
      </c>
      <c r="L84" s="5" t="s">
        <v>890</v>
      </c>
    </row>
    <row r="85" spans="1:12" ht="19.95" customHeight="1" x14ac:dyDescent="0.3">
      <c r="A85" s="2"/>
      <c r="B85" s="7"/>
      <c r="C85" s="7"/>
      <c r="D85" s="2" t="s">
        <v>603</v>
      </c>
      <c r="E85" s="7" t="s">
        <v>891</v>
      </c>
      <c r="F85" s="7" t="s">
        <v>501</v>
      </c>
      <c r="G85" s="7"/>
      <c r="H85" s="2" t="s">
        <v>166</v>
      </c>
      <c r="I85" s="7" t="s">
        <v>892</v>
      </c>
      <c r="J85" s="7"/>
      <c r="K85" s="2" t="s">
        <v>331</v>
      </c>
      <c r="L85" s="7" t="s">
        <v>893</v>
      </c>
    </row>
    <row r="86" spans="1:12" ht="19.95" customHeight="1" x14ac:dyDescent="0.3">
      <c r="A86" s="2"/>
      <c r="B86" s="5"/>
      <c r="C86" s="5"/>
      <c r="D86" s="2" t="s">
        <v>604</v>
      </c>
      <c r="E86" s="5" t="s">
        <v>894</v>
      </c>
      <c r="F86" s="5" t="s">
        <v>501</v>
      </c>
      <c r="G86" s="5"/>
      <c r="H86" s="2" t="s">
        <v>167</v>
      </c>
      <c r="I86" s="5" t="s">
        <v>895</v>
      </c>
      <c r="J86" s="5"/>
      <c r="K86" s="2" t="s">
        <v>332</v>
      </c>
      <c r="L86" s="5" t="s">
        <v>896</v>
      </c>
    </row>
    <row r="87" spans="1:12" ht="19.95" customHeight="1" x14ac:dyDescent="0.3">
      <c r="A87" s="2"/>
      <c r="B87" s="7"/>
      <c r="C87" s="7"/>
      <c r="D87" s="2" t="s">
        <v>605</v>
      </c>
      <c r="E87" s="7" t="s">
        <v>897</v>
      </c>
      <c r="F87" s="7" t="s">
        <v>501</v>
      </c>
      <c r="G87" s="7"/>
      <c r="H87" s="2" t="s">
        <v>168</v>
      </c>
      <c r="I87" s="7" t="s">
        <v>898</v>
      </c>
      <c r="J87" s="7"/>
      <c r="K87" s="2" t="s">
        <v>333</v>
      </c>
      <c r="L87" s="7" t="s">
        <v>899</v>
      </c>
    </row>
    <row r="88" spans="1:12" ht="19.95" customHeight="1" x14ac:dyDescent="0.3">
      <c r="A88" s="2"/>
      <c r="B88" s="5"/>
      <c r="C88" s="5"/>
      <c r="D88" s="2" t="s">
        <v>28</v>
      </c>
      <c r="E88" s="5" t="s">
        <v>900</v>
      </c>
      <c r="F88" s="5" t="s">
        <v>501</v>
      </c>
      <c r="G88" s="5"/>
      <c r="H88" s="2" t="s">
        <v>169</v>
      </c>
      <c r="I88" s="5" t="s">
        <v>901</v>
      </c>
      <c r="J88" s="5"/>
      <c r="K88" s="2" t="s">
        <v>334</v>
      </c>
      <c r="L88" s="5" t="s">
        <v>902</v>
      </c>
    </row>
    <row r="89" spans="1:12" ht="19.95" customHeight="1" x14ac:dyDescent="0.3">
      <c r="A89" s="2"/>
      <c r="B89" s="7"/>
      <c r="C89" s="7"/>
      <c r="D89" s="2" t="s">
        <v>606</v>
      </c>
      <c r="E89" s="7" t="s">
        <v>903</v>
      </c>
      <c r="F89" s="7" t="s">
        <v>501</v>
      </c>
      <c r="G89" s="7"/>
      <c r="H89" s="2" t="s">
        <v>170</v>
      </c>
      <c r="I89" s="7" t="s">
        <v>904</v>
      </c>
      <c r="J89" s="7"/>
      <c r="K89" s="2" t="s">
        <v>335</v>
      </c>
      <c r="L89" s="7" t="s">
        <v>905</v>
      </c>
    </row>
    <row r="90" spans="1:12" ht="19.95" customHeight="1" x14ac:dyDescent="0.3">
      <c r="A90" s="2"/>
      <c r="B90" s="5"/>
      <c r="C90" s="5"/>
      <c r="D90" s="2" t="s">
        <v>31</v>
      </c>
      <c r="E90" s="5" t="s">
        <v>906</v>
      </c>
      <c r="F90" s="5" t="s">
        <v>501</v>
      </c>
      <c r="G90" s="5"/>
      <c r="H90" s="2" t="s">
        <v>171</v>
      </c>
      <c r="I90" s="5" t="s">
        <v>907</v>
      </c>
      <c r="J90" s="5"/>
      <c r="K90" s="2" t="s">
        <v>336</v>
      </c>
      <c r="L90" s="5" t="s">
        <v>908</v>
      </c>
    </row>
    <row r="91" spans="1:12" ht="19.95" customHeight="1" x14ac:dyDescent="0.3">
      <c r="A91" s="2"/>
      <c r="B91" s="7"/>
      <c r="C91" s="7"/>
      <c r="D91" s="2" t="s">
        <v>608</v>
      </c>
      <c r="E91" s="7" t="s">
        <v>909</v>
      </c>
      <c r="F91" s="7" t="s">
        <v>501</v>
      </c>
      <c r="G91" s="7"/>
      <c r="H91" s="2" t="s">
        <v>172</v>
      </c>
      <c r="I91" s="7" t="s">
        <v>910</v>
      </c>
      <c r="J91" s="7"/>
      <c r="K91" s="2" t="s">
        <v>337</v>
      </c>
      <c r="L91" s="7" t="s">
        <v>911</v>
      </c>
    </row>
    <row r="92" spans="1:12" ht="19.95" customHeight="1" x14ac:dyDescent="0.3">
      <c r="A92" s="2"/>
      <c r="B92" s="5"/>
      <c r="C92" s="5"/>
      <c r="D92" s="2" t="s">
        <v>609</v>
      </c>
      <c r="E92" s="5" t="s">
        <v>912</v>
      </c>
      <c r="F92" s="5" t="s">
        <v>501</v>
      </c>
      <c r="G92" s="5"/>
      <c r="H92" s="2" t="s">
        <v>173</v>
      </c>
      <c r="I92" s="5" t="s">
        <v>913</v>
      </c>
      <c r="J92" s="5"/>
      <c r="K92" s="2" t="s">
        <v>338</v>
      </c>
      <c r="L92" s="5" t="s">
        <v>914</v>
      </c>
    </row>
    <row r="93" spans="1:12" ht="19.95" customHeight="1" x14ac:dyDescent="0.3">
      <c r="A93" s="2"/>
      <c r="B93" s="7"/>
      <c r="C93" s="7"/>
      <c r="D93" s="2" t="s">
        <v>610</v>
      </c>
      <c r="E93" s="7" t="s">
        <v>915</v>
      </c>
      <c r="F93" s="7" t="s">
        <v>501</v>
      </c>
      <c r="G93" s="7"/>
      <c r="H93" s="2" t="s">
        <v>174</v>
      </c>
      <c r="I93" s="7" t="s">
        <v>916</v>
      </c>
      <c r="J93" s="7"/>
      <c r="K93" s="2" t="s">
        <v>339</v>
      </c>
      <c r="L93" s="7" t="s">
        <v>917</v>
      </c>
    </row>
    <row r="94" spans="1:12" ht="19.95" customHeight="1" x14ac:dyDescent="0.3">
      <c r="A94" s="2"/>
      <c r="B94" s="5"/>
      <c r="C94" s="5"/>
      <c r="D94" s="2" t="s">
        <v>611</v>
      </c>
      <c r="E94" s="5" t="s">
        <v>918</v>
      </c>
      <c r="F94" s="5" t="s">
        <v>501</v>
      </c>
      <c r="G94" s="5"/>
      <c r="H94" s="2" t="s">
        <v>175</v>
      </c>
      <c r="I94" s="5" t="s">
        <v>919</v>
      </c>
      <c r="J94" s="5"/>
      <c r="K94" s="2" t="s">
        <v>340</v>
      </c>
      <c r="L94" s="5" t="s">
        <v>920</v>
      </c>
    </row>
    <row r="95" spans="1:12" ht="19.95" customHeight="1" x14ac:dyDescent="0.3">
      <c r="A95" s="2"/>
      <c r="B95" s="7"/>
      <c r="C95" s="7"/>
      <c r="D95" s="2" t="s">
        <v>612</v>
      </c>
      <c r="E95" s="7" t="s">
        <v>921</v>
      </c>
      <c r="F95" s="7" t="s">
        <v>501</v>
      </c>
      <c r="G95" s="7"/>
      <c r="H95" s="2" t="s">
        <v>176</v>
      </c>
      <c r="I95" s="7" t="s">
        <v>922</v>
      </c>
      <c r="J95" s="7"/>
      <c r="K95" s="2" t="s">
        <v>341</v>
      </c>
      <c r="L95" s="7" t="s">
        <v>923</v>
      </c>
    </row>
    <row r="96" spans="1:12" ht="19.95" customHeight="1" x14ac:dyDescent="0.3">
      <c r="A96" s="2"/>
      <c r="B96" s="5"/>
      <c r="C96" s="5"/>
      <c r="D96" s="2" t="s">
        <v>20</v>
      </c>
      <c r="E96" s="5" t="s">
        <v>924</v>
      </c>
      <c r="F96" s="5" t="s">
        <v>501</v>
      </c>
      <c r="G96" s="5"/>
      <c r="H96" s="2" t="s">
        <v>177</v>
      </c>
      <c r="I96" s="5" t="s">
        <v>925</v>
      </c>
      <c r="J96" s="5"/>
      <c r="K96" s="2" t="s">
        <v>342</v>
      </c>
      <c r="L96" s="5" t="s">
        <v>926</v>
      </c>
    </row>
    <row r="97" spans="1:12" ht="19.95" customHeight="1" x14ac:dyDescent="0.3">
      <c r="A97" s="2"/>
      <c r="B97" s="7"/>
      <c r="C97" s="7"/>
      <c r="D97" s="2" t="s">
        <v>613</v>
      </c>
      <c r="E97" s="7" t="s">
        <v>927</v>
      </c>
      <c r="F97" s="7" t="s">
        <v>501</v>
      </c>
      <c r="G97" s="7"/>
      <c r="H97" s="2" t="s">
        <v>178</v>
      </c>
      <c r="I97" s="7" t="s">
        <v>928</v>
      </c>
      <c r="J97" s="7"/>
      <c r="K97" s="2" t="s">
        <v>343</v>
      </c>
      <c r="L97" s="7" t="s">
        <v>929</v>
      </c>
    </row>
    <row r="98" spans="1:12" ht="19.95" customHeight="1" x14ac:dyDescent="0.3">
      <c r="A98" s="2"/>
      <c r="B98" s="5"/>
      <c r="C98" s="5"/>
      <c r="D98" s="2" t="s">
        <v>614</v>
      </c>
      <c r="E98" s="5" t="s">
        <v>930</v>
      </c>
      <c r="F98" s="5" t="s">
        <v>501</v>
      </c>
      <c r="G98" s="5"/>
      <c r="H98" s="2" t="s">
        <v>179</v>
      </c>
      <c r="I98" s="5" t="s">
        <v>931</v>
      </c>
      <c r="J98" s="5"/>
      <c r="K98" s="2" t="s">
        <v>344</v>
      </c>
      <c r="L98" s="5" t="s">
        <v>932</v>
      </c>
    </row>
    <row r="99" spans="1:12" ht="19.95" customHeight="1" x14ac:dyDescent="0.3">
      <c r="A99" s="2"/>
      <c r="B99" s="7"/>
      <c r="C99" s="7"/>
      <c r="D99" s="2" t="s">
        <v>615</v>
      </c>
      <c r="E99" s="7" t="s">
        <v>933</v>
      </c>
      <c r="F99" s="7" t="s">
        <v>501</v>
      </c>
      <c r="G99" s="7"/>
      <c r="H99" s="2" t="s">
        <v>180</v>
      </c>
      <c r="I99" s="7" t="s">
        <v>934</v>
      </c>
      <c r="J99" s="7"/>
      <c r="K99" s="2" t="s">
        <v>345</v>
      </c>
      <c r="L99" s="7" t="s">
        <v>935</v>
      </c>
    </row>
    <row r="100" spans="1:12" ht="19.95" customHeight="1" x14ac:dyDescent="0.3">
      <c r="A100" s="2"/>
      <c r="B100" s="5"/>
      <c r="C100" s="5"/>
      <c r="D100" s="2" t="s">
        <v>617</v>
      </c>
      <c r="E100" s="5" t="s">
        <v>936</v>
      </c>
      <c r="F100" s="5" t="s">
        <v>501</v>
      </c>
      <c r="G100" s="5"/>
      <c r="H100" s="2" t="s">
        <v>181</v>
      </c>
      <c r="I100" s="5" t="s">
        <v>937</v>
      </c>
      <c r="J100" s="5"/>
      <c r="K100" s="2" t="s">
        <v>346</v>
      </c>
      <c r="L100" s="5" t="s">
        <v>938</v>
      </c>
    </row>
    <row r="101" spans="1:12" ht="19.95" customHeight="1" x14ac:dyDescent="0.3">
      <c r="A101" s="2"/>
      <c r="B101" s="7"/>
      <c r="C101" s="7"/>
      <c r="D101" s="2" t="s">
        <v>619</v>
      </c>
      <c r="E101" s="7" t="s">
        <v>939</v>
      </c>
      <c r="F101" s="7" t="s">
        <v>501</v>
      </c>
      <c r="G101" s="7"/>
      <c r="H101" s="2" t="s">
        <v>182</v>
      </c>
      <c r="I101" s="7" t="s">
        <v>940</v>
      </c>
      <c r="J101" s="7"/>
      <c r="K101" s="2" t="s">
        <v>347</v>
      </c>
      <c r="L101" s="7" t="s">
        <v>941</v>
      </c>
    </row>
    <row r="102" spans="1:12" ht="19.95" customHeight="1" x14ac:dyDescent="0.3">
      <c r="A102" s="2"/>
      <c r="B102" s="5"/>
      <c r="C102" s="5"/>
      <c r="D102" s="2" t="s">
        <v>620</v>
      </c>
      <c r="E102" s="5" t="s">
        <v>942</v>
      </c>
      <c r="F102" s="5" t="s">
        <v>501</v>
      </c>
      <c r="G102" s="5"/>
      <c r="H102" s="2" t="s">
        <v>183</v>
      </c>
      <c r="I102" s="5" t="s">
        <v>943</v>
      </c>
      <c r="J102" s="5"/>
      <c r="K102" s="2" t="s">
        <v>348</v>
      </c>
      <c r="L102" s="5" t="s">
        <v>944</v>
      </c>
    </row>
    <row r="103" spans="1:12" ht="19.95" customHeight="1" x14ac:dyDescent="0.3">
      <c r="A103" s="2"/>
      <c r="B103" s="7"/>
      <c r="C103" s="7"/>
      <c r="D103" s="2" t="s">
        <v>621</v>
      </c>
      <c r="E103" s="7" t="s">
        <v>945</v>
      </c>
      <c r="F103" s="7" t="s">
        <v>501</v>
      </c>
      <c r="G103" s="7"/>
      <c r="H103" s="2" t="s">
        <v>184</v>
      </c>
      <c r="I103" s="7" t="s">
        <v>946</v>
      </c>
      <c r="J103" s="7"/>
      <c r="K103" s="2" t="s">
        <v>349</v>
      </c>
      <c r="L103" s="7" t="s">
        <v>947</v>
      </c>
    </row>
    <row r="104" spans="1:12" ht="19.95" customHeight="1" x14ac:dyDescent="0.3">
      <c r="A104" s="2"/>
      <c r="B104" s="5"/>
      <c r="C104" s="5"/>
      <c r="D104" s="2" t="s">
        <v>622</v>
      </c>
      <c r="E104" s="5" t="s">
        <v>948</v>
      </c>
      <c r="F104" s="5" t="s">
        <v>501</v>
      </c>
      <c r="G104" s="5"/>
      <c r="H104" s="2" t="s">
        <v>185</v>
      </c>
      <c r="I104" s="5" t="s">
        <v>949</v>
      </c>
      <c r="J104" s="5"/>
      <c r="K104" s="2" t="s">
        <v>350</v>
      </c>
      <c r="L104" s="5" t="s">
        <v>950</v>
      </c>
    </row>
    <row r="105" spans="1:12" ht="19.95" customHeight="1" x14ac:dyDescent="0.3">
      <c r="A105" s="2"/>
      <c r="B105" s="7"/>
      <c r="C105" s="7"/>
      <c r="D105" s="2" t="s">
        <v>58</v>
      </c>
      <c r="E105" s="7" t="s">
        <v>951</v>
      </c>
      <c r="F105" s="7" t="s">
        <v>501</v>
      </c>
      <c r="G105" s="7"/>
      <c r="H105" s="2" t="s">
        <v>186</v>
      </c>
      <c r="I105" s="7" t="s">
        <v>952</v>
      </c>
      <c r="J105" s="7"/>
      <c r="K105" s="2" t="s">
        <v>351</v>
      </c>
      <c r="L105" s="7" t="s">
        <v>953</v>
      </c>
    </row>
    <row r="106" spans="1:12" ht="19.95" customHeight="1" x14ac:dyDescent="0.3">
      <c r="A106" s="2"/>
      <c r="B106" s="5"/>
      <c r="C106" s="5"/>
      <c r="D106" s="2" t="s">
        <v>623</v>
      </c>
      <c r="E106" s="5" t="s">
        <v>954</v>
      </c>
      <c r="F106" s="5" t="s">
        <v>501</v>
      </c>
      <c r="G106" s="5"/>
      <c r="H106" s="2" t="s">
        <v>187</v>
      </c>
      <c r="I106" s="5" t="s">
        <v>955</v>
      </c>
      <c r="J106" s="5"/>
      <c r="K106" s="2" t="s">
        <v>352</v>
      </c>
      <c r="L106" s="5" t="s">
        <v>956</v>
      </c>
    </row>
    <row r="107" spans="1:12" ht="19.95" customHeight="1" x14ac:dyDescent="0.3">
      <c r="A107" s="2"/>
      <c r="B107" s="7"/>
      <c r="C107" s="7"/>
      <c r="D107" s="2" t="s">
        <v>67</v>
      </c>
      <c r="E107" s="7" t="s">
        <v>957</v>
      </c>
      <c r="F107" s="7" t="s">
        <v>501</v>
      </c>
      <c r="G107" s="7"/>
      <c r="H107" s="2" t="s">
        <v>188</v>
      </c>
      <c r="I107" s="7" t="s">
        <v>958</v>
      </c>
      <c r="J107" s="7"/>
      <c r="K107" s="2" t="s">
        <v>353</v>
      </c>
      <c r="L107" s="7" t="s">
        <v>959</v>
      </c>
    </row>
    <row r="108" spans="1:12" ht="19.95" customHeight="1" x14ac:dyDescent="0.3">
      <c r="A108" s="2"/>
      <c r="B108" s="5"/>
      <c r="C108" s="5"/>
      <c r="D108" s="2" t="s">
        <v>624</v>
      </c>
      <c r="E108" s="5" t="s">
        <v>960</v>
      </c>
      <c r="F108" s="5" t="s">
        <v>501</v>
      </c>
      <c r="G108" s="5"/>
      <c r="H108" s="2" t="s">
        <v>189</v>
      </c>
      <c r="I108" s="5" t="s">
        <v>961</v>
      </c>
      <c r="J108" s="5"/>
      <c r="K108" s="2" t="s">
        <v>354</v>
      </c>
      <c r="L108" s="5" t="s">
        <v>962</v>
      </c>
    </row>
    <row r="109" spans="1:12" ht="19.95" customHeight="1" x14ac:dyDescent="0.3">
      <c r="A109" s="2"/>
      <c r="B109" s="7"/>
      <c r="C109" s="7"/>
      <c r="D109" s="2" t="s">
        <v>625</v>
      </c>
      <c r="E109" s="7" t="s">
        <v>963</v>
      </c>
      <c r="F109" s="7" t="s">
        <v>501</v>
      </c>
      <c r="G109" s="7"/>
      <c r="H109" s="2" t="s">
        <v>190</v>
      </c>
      <c r="I109" s="7" t="s">
        <v>964</v>
      </c>
      <c r="J109" s="7"/>
      <c r="K109" s="2" t="s">
        <v>355</v>
      </c>
      <c r="L109" s="7" t="s">
        <v>965</v>
      </c>
    </row>
    <row r="110" spans="1:12" ht="34.049999999999997" customHeight="1" x14ac:dyDescent="0.3">
      <c r="A110" s="2"/>
      <c r="B110" s="5"/>
      <c r="C110" s="5"/>
      <c r="D110" s="2" t="s">
        <v>626</v>
      </c>
      <c r="E110" s="5" t="s">
        <v>966</v>
      </c>
      <c r="F110" s="5" t="s">
        <v>501</v>
      </c>
      <c r="G110" s="5"/>
      <c r="H110" s="2" t="s">
        <v>191</v>
      </c>
      <c r="I110" s="5" t="s">
        <v>967</v>
      </c>
      <c r="J110" s="5"/>
      <c r="K110" s="2" t="s">
        <v>356</v>
      </c>
      <c r="L110" s="5" t="s">
        <v>968</v>
      </c>
    </row>
    <row r="111" spans="1:12" ht="19.95" customHeight="1" x14ac:dyDescent="0.3">
      <c r="A111" s="2"/>
      <c r="B111" s="7"/>
      <c r="C111" s="7"/>
      <c r="D111" s="2" t="s">
        <v>64</v>
      </c>
      <c r="E111" s="7" t="s">
        <v>969</v>
      </c>
      <c r="F111" s="7" t="s">
        <v>501</v>
      </c>
      <c r="G111" s="7"/>
      <c r="H111" s="2" t="s">
        <v>192</v>
      </c>
      <c r="I111" s="7" t="s">
        <v>970</v>
      </c>
      <c r="J111" s="7"/>
      <c r="K111" s="2" t="s">
        <v>357</v>
      </c>
      <c r="L111" s="7" t="s">
        <v>971</v>
      </c>
    </row>
    <row r="112" spans="1:12" ht="19.95" customHeight="1" x14ac:dyDescent="0.3">
      <c r="A112" s="2"/>
      <c r="B112" s="5"/>
      <c r="C112" s="5"/>
      <c r="D112" s="2" t="s">
        <v>628</v>
      </c>
      <c r="E112" s="5" t="s">
        <v>972</v>
      </c>
      <c r="F112" s="5" t="s">
        <v>501</v>
      </c>
      <c r="G112" s="5"/>
      <c r="H112" s="2" t="s">
        <v>193</v>
      </c>
      <c r="I112" s="5" t="s">
        <v>973</v>
      </c>
      <c r="J112" s="5"/>
      <c r="K112" s="2" t="s">
        <v>358</v>
      </c>
      <c r="L112" s="5" t="s">
        <v>974</v>
      </c>
    </row>
    <row r="113" spans="1:12" ht="19.95" customHeight="1" x14ac:dyDescent="0.3">
      <c r="A113" s="2"/>
      <c r="B113" s="7"/>
      <c r="C113" s="7"/>
      <c r="D113" s="2" t="s">
        <v>630</v>
      </c>
      <c r="E113" s="7" t="s">
        <v>975</v>
      </c>
      <c r="F113" s="7" t="s">
        <v>501</v>
      </c>
      <c r="G113" s="7"/>
      <c r="H113" s="2" t="s">
        <v>194</v>
      </c>
      <c r="I113" s="7" t="s">
        <v>976</v>
      </c>
      <c r="J113" s="7"/>
      <c r="K113" s="2" t="s">
        <v>359</v>
      </c>
      <c r="L113" s="7" t="s">
        <v>977</v>
      </c>
    </row>
    <row r="114" spans="1:12" ht="34.049999999999997" customHeight="1" x14ac:dyDescent="0.3">
      <c r="A114" s="2"/>
      <c r="B114" s="5"/>
      <c r="C114" s="5"/>
      <c r="D114" s="2" t="s">
        <v>631</v>
      </c>
      <c r="E114" s="5" t="s">
        <v>978</v>
      </c>
      <c r="F114" s="5" t="s">
        <v>501</v>
      </c>
      <c r="G114" s="5"/>
      <c r="H114" s="2" t="s">
        <v>195</v>
      </c>
      <c r="I114" s="5" t="s">
        <v>979</v>
      </c>
      <c r="J114" s="5"/>
      <c r="K114" s="2" t="s">
        <v>360</v>
      </c>
      <c r="L114" s="5" t="s">
        <v>980</v>
      </c>
    </row>
    <row r="115" spans="1:12" ht="19.95" customHeight="1" x14ac:dyDescent="0.3">
      <c r="A115" s="2"/>
      <c r="B115" s="7"/>
      <c r="C115" s="7"/>
      <c r="D115" s="2" t="s">
        <v>632</v>
      </c>
      <c r="E115" s="7" t="s">
        <v>981</v>
      </c>
      <c r="F115" s="7" t="s">
        <v>501</v>
      </c>
      <c r="G115" s="7"/>
      <c r="H115" s="2" t="s">
        <v>196</v>
      </c>
      <c r="I115" s="7" t="s">
        <v>982</v>
      </c>
      <c r="J115" s="7"/>
      <c r="K115" s="2" t="s">
        <v>361</v>
      </c>
      <c r="L115" s="7" t="s">
        <v>983</v>
      </c>
    </row>
    <row r="116" spans="1:12" ht="19.95" customHeight="1" x14ac:dyDescent="0.3">
      <c r="A116" s="2"/>
      <c r="B116" s="5"/>
      <c r="C116" s="5"/>
      <c r="D116" s="2" t="s">
        <v>634</v>
      </c>
      <c r="E116" s="5" t="s">
        <v>984</v>
      </c>
      <c r="F116" s="5" t="s">
        <v>501</v>
      </c>
      <c r="G116" s="5"/>
      <c r="H116" s="2" t="s">
        <v>197</v>
      </c>
      <c r="I116" s="5" t="s">
        <v>985</v>
      </c>
      <c r="J116" s="5"/>
      <c r="K116" s="2" t="s">
        <v>362</v>
      </c>
      <c r="L116" s="5" t="s">
        <v>986</v>
      </c>
    </row>
    <row r="117" spans="1:12" ht="48" customHeight="1" x14ac:dyDescent="0.3">
      <c r="A117" s="2"/>
      <c r="B117" s="7"/>
      <c r="C117" s="7"/>
      <c r="D117" s="2" t="s">
        <v>35</v>
      </c>
      <c r="E117" s="7" t="s">
        <v>987</v>
      </c>
      <c r="F117" s="9" t="s">
        <v>988</v>
      </c>
      <c r="G117" s="7"/>
      <c r="H117" s="2" t="s">
        <v>198</v>
      </c>
      <c r="I117" s="7" t="s">
        <v>989</v>
      </c>
      <c r="J117" s="7"/>
      <c r="K117" s="2" t="s">
        <v>363</v>
      </c>
      <c r="L117" s="7" t="s">
        <v>990</v>
      </c>
    </row>
    <row r="118" spans="1:12" ht="48" customHeight="1" x14ac:dyDescent="0.3">
      <c r="A118" s="2"/>
      <c r="B118" s="5"/>
      <c r="C118" s="5"/>
      <c r="D118" s="2" t="s">
        <v>70</v>
      </c>
      <c r="E118" s="5" t="s">
        <v>991</v>
      </c>
      <c r="F118" s="9" t="s">
        <v>988</v>
      </c>
      <c r="G118" s="5"/>
      <c r="H118" s="2" t="s">
        <v>199</v>
      </c>
      <c r="I118" s="5" t="s">
        <v>992</v>
      </c>
      <c r="J118" s="5"/>
      <c r="K118" s="2" t="s">
        <v>364</v>
      </c>
      <c r="L118" s="5" t="s">
        <v>993</v>
      </c>
    </row>
    <row r="119" spans="1:12" ht="48" customHeight="1" x14ac:dyDescent="0.3">
      <c r="A119" s="2"/>
      <c r="B119" s="7"/>
      <c r="C119" s="7"/>
      <c r="D119" s="2" t="s">
        <v>80</v>
      </c>
      <c r="E119" s="7" t="s">
        <v>994</v>
      </c>
      <c r="F119" s="9" t="s">
        <v>988</v>
      </c>
      <c r="G119" s="7"/>
      <c r="H119" s="2" t="s">
        <v>200</v>
      </c>
      <c r="I119" s="7" t="s">
        <v>995</v>
      </c>
      <c r="J119" s="7"/>
      <c r="K119" s="2" t="s">
        <v>365</v>
      </c>
      <c r="L119" s="7" t="s">
        <v>7</v>
      </c>
    </row>
    <row r="120" spans="1:12" ht="19.95" customHeight="1" x14ac:dyDescent="0.3">
      <c r="A120" s="2"/>
      <c r="B120" s="5"/>
      <c r="C120" s="5"/>
      <c r="D120" s="2"/>
      <c r="E120" s="5"/>
      <c r="F120" s="5"/>
      <c r="G120" s="5"/>
      <c r="H120" s="2" t="s">
        <v>201</v>
      </c>
      <c r="I120" s="5" t="s">
        <v>996</v>
      </c>
      <c r="J120" s="5"/>
      <c r="K120" s="2" t="s">
        <v>366</v>
      </c>
      <c r="L120" s="5" t="s">
        <v>997</v>
      </c>
    </row>
    <row r="121" spans="1:12" ht="19.95" customHeight="1" x14ac:dyDescent="0.3">
      <c r="A121" s="2"/>
      <c r="B121" s="7"/>
      <c r="C121" s="7"/>
      <c r="D121" s="2"/>
      <c r="E121" s="7"/>
      <c r="F121" s="7"/>
      <c r="G121" s="7"/>
      <c r="H121" s="2" t="s">
        <v>202</v>
      </c>
      <c r="I121" s="7" t="s">
        <v>998</v>
      </c>
      <c r="J121" s="7"/>
      <c r="K121" s="2" t="s">
        <v>367</v>
      </c>
      <c r="L121" s="7" t="s">
        <v>999</v>
      </c>
    </row>
    <row r="122" spans="1:12" ht="19.95" customHeight="1" x14ac:dyDescent="0.3">
      <c r="A122" s="2"/>
      <c r="B122" s="5"/>
      <c r="C122" s="5"/>
      <c r="D122" s="2"/>
      <c r="E122" s="5"/>
      <c r="F122" s="5"/>
      <c r="G122" s="5"/>
      <c r="H122" s="2" t="s">
        <v>203</v>
      </c>
      <c r="I122" s="5" t="s">
        <v>1000</v>
      </c>
      <c r="J122" s="5"/>
      <c r="K122" s="2" t="s">
        <v>368</v>
      </c>
      <c r="L122" s="5" t="s">
        <v>1001</v>
      </c>
    </row>
    <row r="123" spans="1:12" ht="19.95" customHeight="1" x14ac:dyDescent="0.3">
      <c r="A123" s="2"/>
      <c r="B123" s="7"/>
      <c r="C123" s="7"/>
      <c r="D123" s="2"/>
      <c r="E123" s="7"/>
      <c r="F123" s="7"/>
      <c r="G123" s="7"/>
      <c r="H123" s="2" t="s">
        <v>204</v>
      </c>
      <c r="I123" s="7" t="s">
        <v>1002</v>
      </c>
      <c r="J123" s="7"/>
      <c r="K123" s="2" t="s">
        <v>369</v>
      </c>
      <c r="L123" s="7" t="s">
        <v>1003</v>
      </c>
    </row>
    <row r="124" spans="1:12" ht="19.95" customHeight="1" x14ac:dyDescent="0.3">
      <c r="A124" s="2"/>
      <c r="B124" s="5"/>
      <c r="C124" s="5"/>
      <c r="D124" s="2"/>
      <c r="E124" s="5"/>
      <c r="F124" s="5"/>
      <c r="G124" s="5"/>
      <c r="H124" s="2" t="s">
        <v>205</v>
      </c>
      <c r="I124" s="5" t="s">
        <v>1004</v>
      </c>
      <c r="J124" s="5"/>
      <c r="K124" s="2" t="s">
        <v>370</v>
      </c>
      <c r="L124" s="5" t="s">
        <v>1005</v>
      </c>
    </row>
    <row r="125" spans="1:12" ht="19.95" customHeight="1" x14ac:dyDescent="0.3">
      <c r="A125" s="2"/>
      <c r="B125" s="7"/>
      <c r="C125" s="7"/>
      <c r="D125" s="2"/>
      <c r="E125" s="7"/>
      <c r="F125" s="7"/>
      <c r="G125" s="7"/>
      <c r="H125" s="2" t="s">
        <v>206</v>
      </c>
      <c r="I125" s="7" t="s">
        <v>1006</v>
      </c>
      <c r="J125" s="7"/>
      <c r="K125" s="2" t="s">
        <v>371</v>
      </c>
      <c r="L125" s="7" t="s">
        <v>1007</v>
      </c>
    </row>
    <row r="126" spans="1:12" ht="19.95" customHeight="1" x14ac:dyDescent="0.3">
      <c r="A126" s="2"/>
      <c r="B126" s="5"/>
      <c r="C126" s="5"/>
      <c r="D126" s="2"/>
      <c r="E126" s="5"/>
      <c r="F126" s="5"/>
      <c r="G126" s="5"/>
      <c r="H126" s="2" t="s">
        <v>207</v>
      </c>
      <c r="I126" s="5" t="s">
        <v>1008</v>
      </c>
      <c r="J126" s="5"/>
      <c r="K126" s="2" t="s">
        <v>372</v>
      </c>
      <c r="L126" s="5" t="s">
        <v>1009</v>
      </c>
    </row>
    <row r="127" spans="1:12" ht="19.95" customHeight="1" x14ac:dyDescent="0.3">
      <c r="A127" s="2"/>
      <c r="B127" s="7"/>
      <c r="C127" s="7"/>
      <c r="D127" s="2"/>
      <c r="E127" s="7"/>
      <c r="F127" s="7"/>
      <c r="G127" s="7"/>
      <c r="H127" s="2" t="s">
        <v>208</v>
      </c>
      <c r="I127" s="7" t="s">
        <v>1010</v>
      </c>
      <c r="J127" s="7"/>
      <c r="K127" s="2" t="s">
        <v>373</v>
      </c>
      <c r="L127" s="7" t="s">
        <v>1011</v>
      </c>
    </row>
    <row r="128" spans="1:12" ht="19.95" customHeight="1" x14ac:dyDescent="0.3">
      <c r="A128" s="2"/>
      <c r="B128" s="5"/>
      <c r="C128" s="5"/>
      <c r="D128" s="2"/>
      <c r="E128" s="5"/>
      <c r="F128" s="5"/>
      <c r="G128" s="5"/>
      <c r="H128" s="2" t="s">
        <v>209</v>
      </c>
      <c r="I128" s="5" t="s">
        <v>1012</v>
      </c>
      <c r="J128" s="5"/>
      <c r="K128" s="2" t="s">
        <v>374</v>
      </c>
      <c r="L128" s="5" t="s">
        <v>1013</v>
      </c>
    </row>
    <row r="129" spans="1:12" ht="19.95" customHeight="1" x14ac:dyDescent="0.3">
      <c r="A129" s="2"/>
      <c r="B129" s="7"/>
      <c r="C129" s="7"/>
      <c r="D129" s="2"/>
      <c r="E129" s="7"/>
      <c r="F129" s="7"/>
      <c r="G129" s="7"/>
      <c r="H129" s="2" t="s">
        <v>210</v>
      </c>
      <c r="I129" s="7" t="s">
        <v>1014</v>
      </c>
      <c r="J129" s="7"/>
      <c r="K129" s="2" t="s">
        <v>375</v>
      </c>
      <c r="L129" s="7" t="s">
        <v>1015</v>
      </c>
    </row>
    <row r="130" spans="1:12" ht="19.95" customHeight="1" x14ac:dyDescent="0.3">
      <c r="A130" s="2"/>
      <c r="B130" s="5"/>
      <c r="C130" s="5"/>
      <c r="D130" s="2"/>
      <c r="E130" s="5"/>
      <c r="F130" s="5"/>
      <c r="G130" s="5"/>
      <c r="H130" s="2" t="s">
        <v>211</v>
      </c>
      <c r="I130" s="5" t="s">
        <v>1016</v>
      </c>
      <c r="J130" s="5"/>
      <c r="K130" s="2" t="s">
        <v>376</v>
      </c>
      <c r="L130" s="5" t="s">
        <v>1017</v>
      </c>
    </row>
    <row r="131" spans="1:12" ht="19.95" customHeight="1" x14ac:dyDescent="0.3">
      <c r="A131" s="2"/>
      <c r="B131" s="7"/>
      <c r="C131" s="7"/>
      <c r="D131" s="2"/>
      <c r="E131" s="7"/>
      <c r="F131" s="7"/>
      <c r="G131" s="7"/>
      <c r="H131" s="2" t="s">
        <v>212</v>
      </c>
      <c r="I131" s="7" t="s">
        <v>1018</v>
      </c>
      <c r="J131" s="7"/>
      <c r="K131" s="2" t="s">
        <v>377</v>
      </c>
      <c r="L131" s="7" t="s">
        <v>1019</v>
      </c>
    </row>
    <row r="132" spans="1:12" ht="19.95" customHeight="1" x14ac:dyDescent="0.3">
      <c r="A132" s="2"/>
      <c r="B132" s="5"/>
      <c r="C132" s="5"/>
      <c r="D132" s="2"/>
      <c r="E132" s="5"/>
      <c r="F132" s="5"/>
      <c r="G132" s="5"/>
      <c r="H132" s="2" t="s">
        <v>213</v>
      </c>
      <c r="I132" s="5" t="s">
        <v>1020</v>
      </c>
      <c r="J132" s="5"/>
      <c r="K132" s="2" t="s">
        <v>378</v>
      </c>
      <c r="L132" s="5" t="s">
        <v>1021</v>
      </c>
    </row>
    <row r="133" spans="1:12" ht="19.95" customHeight="1" x14ac:dyDescent="0.3">
      <c r="A133" s="2"/>
      <c r="B133" s="7"/>
      <c r="C133" s="7"/>
      <c r="D133" s="2"/>
      <c r="E133" s="7"/>
      <c r="F133" s="7"/>
      <c r="G133" s="7"/>
      <c r="H133" s="2" t="s">
        <v>214</v>
      </c>
      <c r="I133" s="7" t="s">
        <v>1022</v>
      </c>
      <c r="J133" s="7"/>
      <c r="K133" s="2" t="s">
        <v>379</v>
      </c>
      <c r="L133" s="7" t="s">
        <v>1023</v>
      </c>
    </row>
    <row r="134" spans="1:12" ht="19.95" customHeight="1" x14ac:dyDescent="0.3">
      <c r="A134" s="2"/>
      <c r="B134" s="5"/>
      <c r="C134" s="5"/>
      <c r="D134" s="2"/>
      <c r="E134" s="5"/>
      <c r="F134" s="5"/>
      <c r="G134" s="5"/>
      <c r="H134" s="2" t="s">
        <v>215</v>
      </c>
      <c r="I134" s="5" t="s">
        <v>1024</v>
      </c>
      <c r="J134" s="5"/>
      <c r="K134" s="2" t="s">
        <v>380</v>
      </c>
      <c r="L134" s="5" t="s">
        <v>1025</v>
      </c>
    </row>
    <row r="135" spans="1:12" ht="19.95" customHeight="1" x14ac:dyDescent="0.3">
      <c r="A135" s="2"/>
      <c r="B135" s="7"/>
      <c r="C135" s="7"/>
      <c r="D135" s="2"/>
      <c r="E135" s="7"/>
      <c r="F135" s="7"/>
      <c r="G135" s="7"/>
      <c r="H135" s="2" t="s">
        <v>216</v>
      </c>
      <c r="I135" s="7" t="s">
        <v>1026</v>
      </c>
      <c r="J135" s="7"/>
      <c r="K135" s="2" t="s">
        <v>381</v>
      </c>
      <c r="L135" s="7" t="s">
        <v>1027</v>
      </c>
    </row>
    <row r="136" spans="1:12" ht="19.95" customHeight="1" x14ac:dyDescent="0.3">
      <c r="A136" s="2"/>
      <c r="B136" s="5"/>
      <c r="C136" s="5"/>
      <c r="D136" s="2"/>
      <c r="E136" s="5"/>
      <c r="F136" s="5"/>
      <c r="G136" s="5"/>
      <c r="H136" s="2" t="s">
        <v>217</v>
      </c>
      <c r="I136" s="5" t="s">
        <v>1028</v>
      </c>
      <c r="J136" s="5"/>
      <c r="K136" s="2" t="s">
        <v>382</v>
      </c>
      <c r="L136" s="5" t="s">
        <v>1029</v>
      </c>
    </row>
    <row r="137" spans="1:12" ht="19.95" customHeight="1" x14ac:dyDescent="0.3">
      <c r="A137" s="2"/>
      <c r="B137" s="7"/>
      <c r="C137" s="7"/>
      <c r="D137" s="2"/>
      <c r="E137" s="7"/>
      <c r="F137" s="7"/>
      <c r="G137" s="7"/>
      <c r="H137" s="2" t="s">
        <v>218</v>
      </c>
      <c r="I137" s="7" t="s">
        <v>1030</v>
      </c>
      <c r="J137" s="7"/>
      <c r="K137" s="2" t="s">
        <v>383</v>
      </c>
      <c r="L137" s="7" t="s">
        <v>1031</v>
      </c>
    </row>
    <row r="138" spans="1:12" ht="19.95" customHeight="1" x14ac:dyDescent="0.3">
      <c r="A138" s="2"/>
      <c r="B138" s="5"/>
      <c r="C138" s="5"/>
      <c r="D138" s="2"/>
      <c r="E138" s="5"/>
      <c r="F138" s="5"/>
      <c r="G138" s="5"/>
      <c r="H138" s="2" t="s">
        <v>219</v>
      </c>
      <c r="I138" s="5" t="s">
        <v>1032</v>
      </c>
      <c r="J138" s="5"/>
      <c r="K138" s="2" t="s">
        <v>384</v>
      </c>
      <c r="L138" s="5" t="s">
        <v>1033</v>
      </c>
    </row>
    <row r="139" spans="1:12" ht="19.95" customHeight="1" x14ac:dyDescent="0.3">
      <c r="A139" s="2"/>
      <c r="B139" s="7"/>
      <c r="C139" s="7"/>
      <c r="D139" s="2"/>
      <c r="E139" s="7"/>
      <c r="F139" s="7"/>
      <c r="G139" s="7"/>
      <c r="H139" s="2" t="s">
        <v>220</v>
      </c>
      <c r="I139" s="7" t="s">
        <v>1034</v>
      </c>
      <c r="J139" s="7"/>
      <c r="K139" s="2" t="s">
        <v>385</v>
      </c>
      <c r="L139" s="7" t="s">
        <v>1035</v>
      </c>
    </row>
    <row r="140" spans="1:12" ht="19.95" customHeight="1" x14ac:dyDescent="0.3">
      <c r="A140" s="2"/>
      <c r="B140" s="5"/>
      <c r="C140" s="5"/>
      <c r="D140" s="2"/>
      <c r="E140" s="5"/>
      <c r="F140" s="5"/>
      <c r="G140" s="5"/>
      <c r="H140" s="2" t="s">
        <v>221</v>
      </c>
      <c r="I140" s="5" t="s">
        <v>1036</v>
      </c>
      <c r="J140" s="5"/>
      <c r="K140" s="2" t="s">
        <v>386</v>
      </c>
      <c r="L140" s="5" t="s">
        <v>1037</v>
      </c>
    </row>
    <row r="141" spans="1:12" ht="19.95" customHeight="1" x14ac:dyDescent="0.3">
      <c r="A141" s="2"/>
      <c r="B141" s="7"/>
      <c r="C141" s="7"/>
      <c r="D141" s="2"/>
      <c r="E141" s="7"/>
      <c r="F141" s="7"/>
      <c r="G141" s="7"/>
      <c r="H141" s="2" t="s">
        <v>222</v>
      </c>
      <c r="I141" s="7" t="s">
        <v>1038</v>
      </c>
      <c r="J141" s="7"/>
      <c r="K141" s="2" t="s">
        <v>387</v>
      </c>
      <c r="L141" s="7" t="s">
        <v>1039</v>
      </c>
    </row>
    <row r="142" spans="1:12" ht="19.95" customHeight="1" x14ac:dyDescent="0.3">
      <c r="A142" s="2"/>
      <c r="B142" s="5"/>
      <c r="C142" s="5"/>
      <c r="D142" s="2"/>
      <c r="E142" s="5"/>
      <c r="F142" s="5"/>
      <c r="G142" s="5"/>
      <c r="H142" s="2" t="s">
        <v>223</v>
      </c>
      <c r="I142" s="5" t="s">
        <v>1040</v>
      </c>
      <c r="J142" s="5"/>
      <c r="K142" s="2" t="s">
        <v>388</v>
      </c>
      <c r="L142" s="5" t="s">
        <v>1041</v>
      </c>
    </row>
    <row r="143" spans="1:12" ht="19.95" customHeight="1" x14ac:dyDescent="0.3">
      <c r="A143" s="2"/>
      <c r="B143" s="7"/>
      <c r="C143" s="7"/>
      <c r="D143" s="2"/>
      <c r="E143" s="7"/>
      <c r="F143" s="7"/>
      <c r="G143" s="7"/>
      <c r="H143" s="2" t="s">
        <v>224</v>
      </c>
      <c r="I143" s="7" t="s">
        <v>1042</v>
      </c>
      <c r="J143" s="7"/>
      <c r="K143" s="2" t="s">
        <v>389</v>
      </c>
      <c r="L143" s="7" t="s">
        <v>1043</v>
      </c>
    </row>
    <row r="144" spans="1:12" ht="19.95" customHeight="1" x14ac:dyDescent="0.3">
      <c r="A144" s="2"/>
      <c r="B144" s="5"/>
      <c r="C144" s="5"/>
      <c r="D144" s="2"/>
      <c r="E144" s="5"/>
      <c r="F144" s="5"/>
      <c r="G144" s="5"/>
      <c r="H144" s="2" t="s">
        <v>225</v>
      </c>
      <c r="I144" s="5" t="s">
        <v>1044</v>
      </c>
      <c r="J144" s="5"/>
      <c r="K144" s="2" t="s">
        <v>390</v>
      </c>
      <c r="L144" s="5" t="s">
        <v>1045</v>
      </c>
    </row>
    <row r="145" spans="1:12" ht="19.95" customHeight="1" x14ac:dyDescent="0.3">
      <c r="A145" s="2"/>
      <c r="B145" s="7"/>
      <c r="C145" s="7"/>
      <c r="D145" s="2"/>
      <c r="E145" s="7"/>
      <c r="F145" s="7"/>
      <c r="G145" s="7"/>
      <c r="H145" s="2" t="s">
        <v>226</v>
      </c>
      <c r="I145" s="7" t="s">
        <v>1046</v>
      </c>
      <c r="J145" s="7"/>
      <c r="K145" s="2" t="s">
        <v>391</v>
      </c>
      <c r="L145" s="7" t="s">
        <v>1047</v>
      </c>
    </row>
    <row r="146" spans="1:12" ht="19.95" customHeight="1" x14ac:dyDescent="0.3">
      <c r="A146" s="2"/>
      <c r="B146" s="5"/>
      <c r="C146" s="5"/>
      <c r="D146" s="2"/>
      <c r="E146" s="5"/>
      <c r="F146" s="5"/>
      <c r="G146" s="5"/>
      <c r="H146" s="2" t="s">
        <v>227</v>
      </c>
      <c r="I146" s="5" t="s">
        <v>1048</v>
      </c>
      <c r="J146" s="5"/>
      <c r="K146" s="2" t="s">
        <v>392</v>
      </c>
      <c r="L146" s="5" t="s">
        <v>1049</v>
      </c>
    </row>
    <row r="147" spans="1:12" ht="19.95" customHeight="1" x14ac:dyDescent="0.3">
      <c r="A147" s="2"/>
      <c r="B147" s="7"/>
      <c r="C147" s="7"/>
      <c r="D147" s="2"/>
      <c r="E147" s="7"/>
      <c r="F147" s="7"/>
      <c r="G147" s="7"/>
      <c r="H147" s="2" t="s">
        <v>228</v>
      </c>
      <c r="I147" s="7" t="s">
        <v>1050</v>
      </c>
      <c r="J147" s="7"/>
      <c r="K147" s="2" t="s">
        <v>393</v>
      </c>
      <c r="L147" s="7" t="s">
        <v>1051</v>
      </c>
    </row>
    <row r="148" spans="1:12" ht="19.95" customHeight="1" x14ac:dyDescent="0.3">
      <c r="A148" s="2"/>
      <c r="B148" s="5"/>
      <c r="C148" s="5"/>
      <c r="D148" s="2"/>
      <c r="E148" s="5"/>
      <c r="F148" s="5"/>
      <c r="G148" s="5"/>
      <c r="H148" s="2" t="s">
        <v>229</v>
      </c>
      <c r="I148" s="5" t="s">
        <v>1052</v>
      </c>
      <c r="J148" s="5"/>
      <c r="K148" s="2" t="s">
        <v>394</v>
      </c>
      <c r="L148" s="5" t="s">
        <v>1053</v>
      </c>
    </row>
    <row r="149" spans="1:12" ht="19.95" customHeight="1" x14ac:dyDescent="0.3">
      <c r="A149" s="2"/>
      <c r="B149" s="7"/>
      <c r="C149" s="7"/>
      <c r="D149" s="2"/>
      <c r="E149" s="7"/>
      <c r="F149" s="7"/>
      <c r="G149" s="7"/>
      <c r="H149" s="2" t="s">
        <v>230</v>
      </c>
      <c r="I149" s="7" t="s">
        <v>1054</v>
      </c>
      <c r="J149" s="7"/>
      <c r="K149" s="2" t="s">
        <v>395</v>
      </c>
      <c r="L149" s="7" t="s">
        <v>1055</v>
      </c>
    </row>
    <row r="150" spans="1:12" ht="19.95" customHeight="1" x14ac:dyDescent="0.3">
      <c r="A150" s="2"/>
      <c r="B150" s="5"/>
      <c r="C150" s="5"/>
      <c r="D150" s="2"/>
      <c r="E150" s="5"/>
      <c r="F150" s="5"/>
      <c r="G150" s="5"/>
      <c r="H150" s="2" t="s">
        <v>231</v>
      </c>
      <c r="I150" s="5" t="s">
        <v>1056</v>
      </c>
      <c r="J150" s="5"/>
      <c r="K150" s="2" t="s">
        <v>396</v>
      </c>
      <c r="L150" s="5" t="s">
        <v>1057</v>
      </c>
    </row>
    <row r="151" spans="1:12" ht="19.95" customHeight="1" x14ac:dyDescent="0.3">
      <c r="A151" s="2"/>
      <c r="B151" s="7"/>
      <c r="C151" s="7"/>
      <c r="D151" s="2"/>
      <c r="E151" s="7"/>
      <c r="F151" s="7"/>
      <c r="G151" s="7"/>
      <c r="H151" s="2" t="s">
        <v>232</v>
      </c>
      <c r="I151" s="7" t="s">
        <v>1058</v>
      </c>
      <c r="J151" s="7"/>
      <c r="K151" s="2" t="s">
        <v>397</v>
      </c>
      <c r="L151" s="7" t="s">
        <v>1059</v>
      </c>
    </row>
    <row r="152" spans="1:12" ht="19.95" customHeight="1" x14ac:dyDescent="0.3">
      <c r="A152" s="2"/>
      <c r="B152" s="5"/>
      <c r="C152" s="5"/>
      <c r="D152" s="2"/>
      <c r="E152" s="5"/>
      <c r="F152" s="5"/>
      <c r="G152" s="5"/>
      <c r="H152" s="2" t="s">
        <v>233</v>
      </c>
      <c r="I152" s="5" t="s">
        <v>1060</v>
      </c>
      <c r="J152" s="5"/>
      <c r="K152" s="2" t="s">
        <v>398</v>
      </c>
      <c r="L152" s="5" t="s">
        <v>1061</v>
      </c>
    </row>
    <row r="153" spans="1:12" ht="19.95" customHeight="1" x14ac:dyDescent="0.3">
      <c r="A153" s="2"/>
      <c r="B153" s="7"/>
      <c r="C153" s="7"/>
      <c r="D153" s="2"/>
      <c r="E153" s="7"/>
      <c r="F153" s="7"/>
      <c r="G153" s="7"/>
      <c r="H153" s="2" t="s">
        <v>234</v>
      </c>
      <c r="I153" s="7" t="s">
        <v>1062</v>
      </c>
      <c r="J153" s="7"/>
      <c r="K153" s="2" t="s">
        <v>399</v>
      </c>
      <c r="L153" s="7" t="s">
        <v>1063</v>
      </c>
    </row>
    <row r="154" spans="1:12" ht="19.95" customHeight="1" x14ac:dyDescent="0.3">
      <c r="A154" s="2"/>
      <c r="B154" s="5"/>
      <c r="C154" s="5"/>
      <c r="D154" s="2"/>
      <c r="E154" s="5"/>
      <c r="F154" s="5"/>
      <c r="G154" s="5"/>
      <c r="H154" s="2" t="s">
        <v>235</v>
      </c>
      <c r="I154" s="5" t="s">
        <v>1064</v>
      </c>
      <c r="J154" s="5"/>
      <c r="K154" s="2" t="s">
        <v>400</v>
      </c>
      <c r="L154" s="5" t="s">
        <v>1065</v>
      </c>
    </row>
    <row r="155" spans="1:12" ht="19.95" customHeight="1" x14ac:dyDescent="0.3">
      <c r="A155" s="2"/>
      <c r="B155" s="7"/>
      <c r="C155" s="7"/>
      <c r="D155" s="2"/>
      <c r="E155" s="7"/>
      <c r="F155" s="7"/>
      <c r="G155" s="7"/>
      <c r="H155" s="2" t="s">
        <v>236</v>
      </c>
      <c r="I155" s="7" t="s">
        <v>1066</v>
      </c>
      <c r="J155" s="7"/>
      <c r="K155" s="2" t="s">
        <v>401</v>
      </c>
      <c r="L155" s="7" t="s">
        <v>1067</v>
      </c>
    </row>
    <row r="156" spans="1:12" ht="19.95" customHeight="1" x14ac:dyDescent="0.3">
      <c r="A156" s="2"/>
      <c r="B156" s="5"/>
      <c r="C156" s="5"/>
      <c r="D156" s="2"/>
      <c r="E156" s="5"/>
      <c r="F156" s="5"/>
      <c r="G156" s="5"/>
      <c r="H156" s="2" t="s">
        <v>237</v>
      </c>
      <c r="I156" s="5" t="s">
        <v>1068</v>
      </c>
      <c r="J156" s="5"/>
      <c r="K156" s="2" t="s">
        <v>402</v>
      </c>
      <c r="L156" s="5" t="s">
        <v>1069</v>
      </c>
    </row>
    <row r="157" spans="1:12" ht="34.049999999999997" customHeight="1" x14ac:dyDescent="0.3">
      <c r="A157" s="2"/>
      <c r="B157" s="7"/>
      <c r="C157" s="7"/>
      <c r="D157" s="2"/>
      <c r="E157" s="7"/>
      <c r="F157" s="7"/>
      <c r="G157" s="7"/>
      <c r="H157" s="2" t="s">
        <v>238</v>
      </c>
      <c r="I157" s="7" t="s">
        <v>1070</v>
      </c>
      <c r="J157" s="7"/>
      <c r="K157" s="2" t="s">
        <v>403</v>
      </c>
      <c r="L157" s="7" t="s">
        <v>1071</v>
      </c>
    </row>
    <row r="158" spans="1:12" ht="19.95" customHeight="1" x14ac:dyDescent="0.3">
      <c r="A158" s="2"/>
      <c r="B158" s="5"/>
      <c r="C158" s="5"/>
      <c r="D158" s="2"/>
      <c r="E158" s="5"/>
      <c r="F158" s="5"/>
      <c r="G158" s="5"/>
      <c r="H158" s="2" t="s">
        <v>239</v>
      </c>
      <c r="I158" s="5" t="s">
        <v>1072</v>
      </c>
      <c r="J158" s="5"/>
      <c r="K158" s="2" t="s">
        <v>404</v>
      </c>
      <c r="L158" s="5" t="s">
        <v>1073</v>
      </c>
    </row>
    <row r="159" spans="1:12" ht="19.95" customHeight="1" x14ac:dyDescent="0.3">
      <c r="A159" s="2"/>
      <c r="B159" s="7"/>
      <c r="C159" s="7"/>
      <c r="D159" s="2"/>
      <c r="E159" s="7"/>
      <c r="F159" s="7"/>
      <c r="G159" s="7"/>
      <c r="H159" s="2" t="s">
        <v>240</v>
      </c>
      <c r="I159" s="7" t="s">
        <v>1074</v>
      </c>
      <c r="J159" s="7"/>
      <c r="K159" s="2" t="s">
        <v>405</v>
      </c>
      <c r="L159" s="7" t="s">
        <v>1075</v>
      </c>
    </row>
    <row r="160" spans="1:12" ht="19.95" customHeight="1" x14ac:dyDescent="0.3">
      <c r="A160" s="2"/>
      <c r="B160" s="5"/>
      <c r="C160" s="5"/>
      <c r="D160" s="2"/>
      <c r="E160" s="5"/>
      <c r="F160" s="5"/>
      <c r="G160" s="5"/>
      <c r="H160" s="2" t="s">
        <v>241</v>
      </c>
      <c r="I160" s="5" t="s">
        <v>1076</v>
      </c>
      <c r="J160" s="5"/>
      <c r="K160" s="2" t="s">
        <v>406</v>
      </c>
      <c r="L160" s="5" t="s">
        <v>1077</v>
      </c>
    </row>
    <row r="161" spans="1:12" ht="19.95" customHeight="1" x14ac:dyDescent="0.3">
      <c r="A161" s="2"/>
      <c r="B161" s="7"/>
      <c r="C161" s="7"/>
      <c r="D161" s="2"/>
      <c r="E161" s="7"/>
      <c r="F161" s="7"/>
      <c r="G161" s="7"/>
      <c r="H161" s="2" t="s">
        <v>242</v>
      </c>
      <c r="I161" s="7" t="s">
        <v>1078</v>
      </c>
      <c r="J161" s="7"/>
      <c r="K161" s="2" t="s">
        <v>407</v>
      </c>
      <c r="L161" s="7" t="s">
        <v>1079</v>
      </c>
    </row>
    <row r="162" spans="1:12" ht="19.95" customHeight="1" x14ac:dyDescent="0.3">
      <c r="A162" s="2"/>
      <c r="B162" s="5"/>
      <c r="C162" s="5"/>
      <c r="D162" s="2"/>
      <c r="E162" s="5"/>
      <c r="F162" s="5"/>
      <c r="G162" s="5"/>
      <c r="H162" s="2" t="s">
        <v>243</v>
      </c>
      <c r="I162" s="5" t="s">
        <v>1080</v>
      </c>
      <c r="J162" s="5"/>
      <c r="K162" s="2" t="s">
        <v>408</v>
      </c>
      <c r="L162" s="5" t="s">
        <v>1081</v>
      </c>
    </row>
    <row r="163" spans="1:12" ht="19.95" customHeight="1" x14ac:dyDescent="0.3">
      <c r="A163" s="2"/>
      <c r="B163" s="7"/>
      <c r="C163" s="7"/>
      <c r="D163" s="2"/>
      <c r="E163" s="7"/>
      <c r="F163" s="7"/>
      <c r="G163" s="7"/>
      <c r="H163" s="2" t="s">
        <v>244</v>
      </c>
      <c r="I163" s="7" t="s">
        <v>1082</v>
      </c>
      <c r="J163" s="7"/>
      <c r="K163" s="2" t="s">
        <v>409</v>
      </c>
      <c r="L163" s="7" t="s">
        <v>1083</v>
      </c>
    </row>
    <row r="164" spans="1:12" ht="19.95" customHeight="1" x14ac:dyDescent="0.3">
      <c r="A164" s="2"/>
      <c r="B164" s="5"/>
      <c r="C164" s="5"/>
      <c r="D164" s="2"/>
      <c r="E164" s="5"/>
      <c r="F164" s="5"/>
      <c r="G164" s="5"/>
      <c r="H164" s="2" t="s">
        <v>245</v>
      </c>
      <c r="I164" s="5" t="s">
        <v>1084</v>
      </c>
      <c r="J164" s="5"/>
      <c r="K164" s="2" t="s">
        <v>410</v>
      </c>
      <c r="L164" s="5" t="s">
        <v>1085</v>
      </c>
    </row>
    <row r="165" spans="1:12" ht="19.95" customHeight="1" x14ac:dyDescent="0.3">
      <c r="A165" s="2"/>
      <c r="B165" s="7"/>
      <c r="C165" s="7"/>
      <c r="D165" s="2"/>
      <c r="E165" s="7"/>
      <c r="F165" s="7"/>
      <c r="G165" s="7"/>
      <c r="H165" s="2"/>
      <c r="I165" s="7"/>
      <c r="J165" s="7"/>
      <c r="K165" s="2" t="s">
        <v>411</v>
      </c>
      <c r="L165" s="7" t="s">
        <v>1086</v>
      </c>
    </row>
    <row r="166" spans="1:12" ht="19.95" customHeight="1" x14ac:dyDescent="0.3">
      <c r="A166" s="2"/>
      <c r="B166" s="5"/>
      <c r="C166" s="5"/>
      <c r="D166" s="2"/>
      <c r="E166" s="5"/>
      <c r="F166" s="5"/>
      <c r="G166" s="5"/>
      <c r="H166" s="2"/>
      <c r="I166" s="5"/>
      <c r="J166" s="5"/>
      <c r="K166" s="2" t="s">
        <v>412</v>
      </c>
      <c r="L166" s="5" t="s">
        <v>1087</v>
      </c>
    </row>
    <row r="167" spans="1:12" ht="19.95" customHeight="1" x14ac:dyDescent="0.3">
      <c r="A167" s="2"/>
      <c r="B167" s="7"/>
      <c r="C167" s="7"/>
      <c r="D167" s="2"/>
      <c r="E167" s="7"/>
      <c r="F167" s="7"/>
      <c r="G167" s="7"/>
      <c r="H167" s="2"/>
      <c r="I167" s="7"/>
      <c r="J167" s="7"/>
      <c r="K167" s="2" t="s">
        <v>413</v>
      </c>
      <c r="L167" s="7" t="s">
        <v>1088</v>
      </c>
    </row>
    <row r="168" spans="1:12" ht="19.95" customHeight="1" x14ac:dyDescent="0.3">
      <c r="A168" s="2"/>
      <c r="B168" s="5"/>
      <c r="C168" s="5"/>
      <c r="D168" s="2"/>
      <c r="E168" s="5"/>
      <c r="F168" s="5"/>
      <c r="G168" s="5"/>
      <c r="H168" s="2"/>
      <c r="I168" s="5"/>
      <c r="J168" s="5"/>
      <c r="K168" s="2" t="s">
        <v>414</v>
      </c>
      <c r="L168" s="5" t="s">
        <v>1089</v>
      </c>
    </row>
    <row r="169" spans="1:12" ht="19.95" customHeight="1" x14ac:dyDescent="0.3">
      <c r="A169" s="2"/>
      <c r="B169" s="7"/>
      <c r="C169" s="7"/>
      <c r="D169" s="2"/>
      <c r="E169" s="7"/>
      <c r="F169" s="7"/>
      <c r="G169" s="7"/>
      <c r="H169" s="2"/>
      <c r="I169" s="7"/>
      <c r="J169" s="7"/>
      <c r="K169" s="2" t="s">
        <v>415</v>
      </c>
      <c r="L169" s="7" t="s">
        <v>1090</v>
      </c>
    </row>
    <row r="170" spans="1:12" ht="19.95" customHeight="1" x14ac:dyDescent="0.3">
      <c r="A170" s="2"/>
      <c r="B170" s="5"/>
      <c r="C170" s="5"/>
      <c r="D170" s="2"/>
      <c r="E170" s="5"/>
      <c r="F170" s="5"/>
      <c r="G170" s="5"/>
      <c r="H170" s="2"/>
      <c r="I170" s="5"/>
      <c r="J170" s="5"/>
      <c r="K170" s="2" t="s">
        <v>416</v>
      </c>
      <c r="L170" s="5" t="s">
        <v>1091</v>
      </c>
    </row>
    <row r="171" spans="1:12" ht="19.95" customHeight="1" x14ac:dyDescent="0.3">
      <c r="A171" s="2"/>
      <c r="B171" s="7"/>
      <c r="C171" s="7"/>
      <c r="D171" s="2"/>
      <c r="E171" s="7"/>
      <c r="F171" s="7"/>
      <c r="G171" s="7"/>
      <c r="H171" s="2"/>
      <c r="I171" s="7"/>
      <c r="J171" s="7"/>
      <c r="K171" s="2" t="s">
        <v>417</v>
      </c>
      <c r="L171" s="7" t="s">
        <v>1092</v>
      </c>
    </row>
    <row r="172" spans="1:12" ht="19.95" customHeight="1" x14ac:dyDescent="0.3">
      <c r="A172" s="2"/>
      <c r="B172" s="5"/>
      <c r="C172" s="5"/>
      <c r="D172" s="2"/>
      <c r="E172" s="5"/>
      <c r="F172" s="5"/>
      <c r="G172" s="5"/>
      <c r="H172" s="2"/>
      <c r="I172" s="5"/>
      <c r="J172" s="5"/>
      <c r="K172" s="2" t="s">
        <v>418</v>
      </c>
      <c r="L172" s="5" t="s">
        <v>1093</v>
      </c>
    </row>
    <row r="173" spans="1:12" ht="19.95" customHeight="1" x14ac:dyDescent="0.3">
      <c r="A173" s="2"/>
      <c r="B173" s="7"/>
      <c r="C173" s="7"/>
      <c r="D173" s="2"/>
      <c r="E173" s="7"/>
      <c r="F173" s="7"/>
      <c r="G173" s="7"/>
      <c r="H173" s="2"/>
      <c r="I173" s="7"/>
      <c r="J173" s="7"/>
      <c r="K173" s="2" t="s">
        <v>419</v>
      </c>
      <c r="L173" s="7" t="s">
        <v>1094</v>
      </c>
    </row>
    <row r="174" spans="1:12" ht="19.95" customHeight="1" x14ac:dyDescent="0.3">
      <c r="A174" s="2"/>
      <c r="B174" s="5"/>
      <c r="C174" s="5"/>
      <c r="D174" s="2"/>
      <c r="E174" s="5"/>
      <c r="F174" s="5"/>
      <c r="G174" s="5"/>
      <c r="H174" s="2"/>
      <c r="I174" s="5"/>
      <c r="J174" s="5"/>
      <c r="K174" s="2" t="s">
        <v>420</v>
      </c>
      <c r="L174" s="5" t="s">
        <v>1095</v>
      </c>
    </row>
    <row r="175" spans="1:12" ht="19.95" customHeight="1" x14ac:dyDescent="0.3">
      <c r="A175" s="2"/>
      <c r="B175" s="7"/>
      <c r="C175" s="7"/>
      <c r="D175" s="2"/>
      <c r="E175" s="7"/>
      <c r="F175" s="7"/>
      <c r="G175" s="7"/>
      <c r="H175" s="2"/>
      <c r="I175" s="7"/>
      <c r="J175" s="7"/>
      <c r="K175" s="2" t="s">
        <v>421</v>
      </c>
      <c r="L175" s="7" t="s">
        <v>1096</v>
      </c>
    </row>
    <row r="176" spans="1:12" ht="19.95" customHeight="1" x14ac:dyDescent="0.3">
      <c r="A176" s="2"/>
      <c r="B176" s="5"/>
      <c r="C176" s="5"/>
      <c r="D176" s="2"/>
      <c r="E176" s="5"/>
      <c r="F176" s="5"/>
      <c r="G176" s="5"/>
      <c r="H176" s="2"/>
      <c r="I176" s="5"/>
      <c r="J176" s="5"/>
      <c r="K176" s="2" t="s">
        <v>422</v>
      </c>
      <c r="L176" s="5" t="s">
        <v>1097</v>
      </c>
    </row>
    <row r="177" spans="1:12" ht="19.95" customHeight="1" x14ac:dyDescent="0.3">
      <c r="A177" s="2"/>
      <c r="B177" s="7"/>
      <c r="C177" s="7"/>
      <c r="D177" s="2"/>
      <c r="E177" s="7"/>
      <c r="F177" s="7"/>
      <c r="G177" s="7"/>
      <c r="H177" s="2"/>
      <c r="I177" s="7"/>
      <c r="J177" s="7"/>
      <c r="K177" s="2" t="s">
        <v>423</v>
      </c>
      <c r="L177" s="7" t="s">
        <v>1098</v>
      </c>
    </row>
    <row r="178" spans="1:12" ht="19.95" customHeight="1" x14ac:dyDescent="0.3">
      <c r="A178" s="2"/>
      <c r="B178" s="5"/>
      <c r="C178" s="5"/>
      <c r="D178" s="2"/>
      <c r="E178" s="5"/>
      <c r="F178" s="5"/>
      <c r="G178" s="5"/>
      <c r="H178" s="2"/>
      <c r="I178" s="5"/>
      <c r="J178" s="5"/>
      <c r="K178" s="2" t="s">
        <v>424</v>
      </c>
      <c r="L178" s="5" t="s">
        <v>1099</v>
      </c>
    </row>
    <row r="179" spans="1:12" ht="19.95" customHeight="1" x14ac:dyDescent="0.3">
      <c r="A179" s="2"/>
      <c r="B179" s="7"/>
      <c r="C179" s="7"/>
      <c r="D179" s="2"/>
      <c r="E179" s="7"/>
      <c r="F179" s="7"/>
      <c r="G179" s="7"/>
      <c r="H179" s="2"/>
      <c r="I179" s="7"/>
      <c r="J179" s="7"/>
      <c r="K179" s="2" t="s">
        <v>425</v>
      </c>
      <c r="L179" s="7" t="s">
        <v>1100</v>
      </c>
    </row>
    <row r="180" spans="1:12" ht="19.95" customHeight="1" x14ac:dyDescent="0.3">
      <c r="A180" s="2"/>
      <c r="B180" s="5"/>
      <c r="C180" s="5"/>
      <c r="D180" s="2"/>
      <c r="E180" s="5"/>
      <c r="F180" s="5"/>
      <c r="G180" s="5"/>
      <c r="H180" s="2"/>
      <c r="I180" s="5"/>
      <c r="J180" s="5"/>
      <c r="K180" s="2" t="s">
        <v>426</v>
      </c>
      <c r="L180" s="5" t="s">
        <v>1101</v>
      </c>
    </row>
    <row r="181" spans="1:12" ht="19.95" customHeight="1" x14ac:dyDescent="0.3">
      <c r="A181" s="2"/>
      <c r="B181" s="7"/>
      <c r="C181" s="7"/>
      <c r="D181" s="2"/>
      <c r="E181" s="7"/>
      <c r="F181" s="7"/>
      <c r="G181" s="7"/>
      <c r="H181" s="2"/>
      <c r="I181" s="7"/>
      <c r="J181" s="7"/>
      <c r="K181" s="2" t="s">
        <v>427</v>
      </c>
      <c r="L181" s="7" t="s">
        <v>1102</v>
      </c>
    </row>
    <row r="182" spans="1:12" ht="19.95" customHeight="1" x14ac:dyDescent="0.3">
      <c r="A182" s="2"/>
      <c r="B182" s="5"/>
      <c r="C182" s="5"/>
      <c r="D182" s="2"/>
      <c r="E182" s="5"/>
      <c r="F182" s="5"/>
      <c r="G182" s="5"/>
      <c r="H182" s="2"/>
      <c r="I182" s="5"/>
      <c r="J182" s="5"/>
      <c r="K182" s="2" t="s">
        <v>428</v>
      </c>
      <c r="L182" s="5" t="s">
        <v>1103</v>
      </c>
    </row>
    <row r="183" spans="1:12" ht="19.95" customHeight="1" x14ac:dyDescent="0.3">
      <c r="A183" s="2"/>
      <c r="B183" s="7"/>
      <c r="C183" s="7"/>
      <c r="D183" s="2"/>
      <c r="E183" s="7"/>
      <c r="F183" s="7"/>
      <c r="G183" s="7"/>
      <c r="H183" s="2"/>
      <c r="I183" s="7"/>
      <c r="J183" s="7"/>
      <c r="K183" s="2" t="s">
        <v>429</v>
      </c>
      <c r="L183" s="7" t="s">
        <v>1104</v>
      </c>
    </row>
    <row r="184" spans="1:12" ht="19.95" customHeight="1" x14ac:dyDescent="0.3">
      <c r="A184" s="2"/>
      <c r="B184" s="5"/>
      <c r="C184" s="5"/>
      <c r="D184" s="2"/>
      <c r="E184" s="5"/>
      <c r="F184" s="5"/>
      <c r="G184" s="5"/>
      <c r="H184" s="2"/>
      <c r="I184" s="5"/>
      <c r="J184" s="5"/>
      <c r="K184" s="2" t="s">
        <v>430</v>
      </c>
      <c r="L184" s="5" t="s">
        <v>1105</v>
      </c>
    </row>
    <row r="185" spans="1:12" ht="19.95" customHeight="1" x14ac:dyDescent="0.3">
      <c r="A185" s="2"/>
      <c r="B185" s="7"/>
      <c r="C185" s="7"/>
      <c r="D185" s="2"/>
      <c r="E185" s="7"/>
      <c r="F185" s="7"/>
      <c r="G185" s="7"/>
      <c r="H185" s="2"/>
      <c r="I185" s="7"/>
      <c r="J185" s="7"/>
      <c r="K185" s="2" t="s">
        <v>431</v>
      </c>
      <c r="L185" s="7" t="s">
        <v>1106</v>
      </c>
    </row>
    <row r="186" spans="1:12" ht="19.95" customHeight="1" x14ac:dyDescent="0.3">
      <c r="A186" s="2"/>
      <c r="B186" s="5"/>
      <c r="C186" s="5"/>
      <c r="D186" s="2"/>
      <c r="E186" s="5"/>
      <c r="F186" s="5"/>
      <c r="G186" s="5"/>
      <c r="H186" s="2"/>
      <c r="I186" s="5"/>
      <c r="J186" s="5"/>
      <c r="K186" s="2" t="s">
        <v>432</v>
      </c>
      <c r="L186" s="5" t="s">
        <v>1107</v>
      </c>
    </row>
    <row r="187" spans="1:12" ht="19.95" customHeight="1" x14ac:dyDescent="0.3">
      <c r="A187" s="2"/>
      <c r="B187" s="7"/>
      <c r="C187" s="7"/>
      <c r="D187" s="2"/>
      <c r="E187" s="7"/>
      <c r="F187" s="7"/>
      <c r="G187" s="7"/>
      <c r="H187" s="2"/>
      <c r="I187" s="7"/>
      <c r="J187" s="7"/>
      <c r="K187" s="2" t="s">
        <v>433</v>
      </c>
      <c r="L187" s="7" t="s">
        <v>1108</v>
      </c>
    </row>
    <row r="188" spans="1:12" ht="19.95" customHeight="1" x14ac:dyDescent="0.3">
      <c r="A188" s="2"/>
      <c r="B188" s="5"/>
      <c r="C188" s="5"/>
      <c r="D188" s="2"/>
      <c r="E188" s="5"/>
      <c r="F188" s="5"/>
      <c r="G188" s="5"/>
      <c r="H188" s="2"/>
      <c r="I188" s="5"/>
      <c r="J188" s="5"/>
      <c r="K188" s="2" t="s">
        <v>434</v>
      </c>
      <c r="L188" s="5" t="s">
        <v>1109</v>
      </c>
    </row>
    <row r="189" spans="1:12" ht="19.95" customHeight="1" x14ac:dyDescent="0.3">
      <c r="A189" s="2"/>
      <c r="B189" s="7"/>
      <c r="C189" s="7"/>
      <c r="D189" s="2"/>
      <c r="E189" s="7"/>
      <c r="F189" s="7"/>
      <c r="G189" s="7"/>
      <c r="H189" s="2"/>
      <c r="I189" s="7"/>
      <c r="J189" s="7"/>
      <c r="K189" s="2" t="s">
        <v>435</v>
      </c>
      <c r="L189" s="7" t="s">
        <v>1110</v>
      </c>
    </row>
    <row r="190" spans="1:12" ht="19.95" customHeight="1" x14ac:dyDescent="0.3">
      <c r="A190" s="2"/>
      <c r="B190" s="5"/>
      <c r="C190" s="5"/>
      <c r="D190" s="2"/>
      <c r="E190" s="5"/>
      <c r="F190" s="5"/>
      <c r="G190" s="5"/>
      <c r="H190" s="2"/>
      <c r="I190" s="5"/>
      <c r="J190" s="5"/>
      <c r="K190" s="2" t="s">
        <v>436</v>
      </c>
      <c r="L190" s="5" t="s">
        <v>1111</v>
      </c>
    </row>
    <row r="191" spans="1:12" ht="19.95" customHeight="1" x14ac:dyDescent="0.3">
      <c r="A191" s="2"/>
      <c r="B191" s="7"/>
      <c r="C191" s="7"/>
      <c r="D191" s="2"/>
      <c r="E191" s="7"/>
      <c r="F191" s="7"/>
      <c r="G191" s="7"/>
      <c r="H191" s="2"/>
      <c r="I191" s="7"/>
      <c r="J191" s="7"/>
      <c r="K191" s="2" t="s">
        <v>437</v>
      </c>
      <c r="L191" s="7" t="s">
        <v>1112</v>
      </c>
    </row>
    <row r="192" spans="1:12" ht="19.95" customHeight="1" x14ac:dyDescent="0.3">
      <c r="A192" s="2"/>
      <c r="B192" s="5"/>
      <c r="C192" s="5"/>
      <c r="D192" s="2"/>
      <c r="E192" s="5"/>
      <c r="F192" s="5"/>
      <c r="G192" s="5"/>
      <c r="H192" s="2"/>
      <c r="I192" s="5"/>
      <c r="J192" s="5"/>
      <c r="K192" s="2" t="s">
        <v>438</v>
      </c>
      <c r="L192" s="5" t="s">
        <v>1113</v>
      </c>
    </row>
    <row r="193" spans="1:12" ht="19.95" customHeight="1" x14ac:dyDescent="0.3">
      <c r="A193" s="2"/>
      <c r="B193" s="7"/>
      <c r="C193" s="7"/>
      <c r="D193" s="2"/>
      <c r="E193" s="7"/>
      <c r="F193" s="7"/>
      <c r="G193" s="7"/>
      <c r="H193" s="2"/>
      <c r="I193" s="7"/>
      <c r="J193" s="7"/>
      <c r="K193" s="2" t="s">
        <v>439</v>
      </c>
      <c r="L193" s="7" t="s">
        <v>1114</v>
      </c>
    </row>
    <row r="194" spans="1:12" ht="19.95" customHeight="1" x14ac:dyDescent="0.3">
      <c r="A194" s="2"/>
      <c r="B194" s="5"/>
      <c r="C194" s="5"/>
      <c r="D194" s="2"/>
      <c r="E194" s="5"/>
      <c r="F194" s="5"/>
      <c r="G194" s="5"/>
      <c r="H194" s="2"/>
      <c r="I194" s="5"/>
      <c r="J194" s="5"/>
      <c r="K194" s="2" t="s">
        <v>440</v>
      </c>
      <c r="L194" s="5" t="s">
        <v>1115</v>
      </c>
    </row>
    <row r="195" spans="1:12" ht="19.95" customHeight="1" x14ac:dyDescent="0.3">
      <c r="A195" s="2"/>
      <c r="B195" s="7"/>
      <c r="C195" s="7"/>
      <c r="D195" s="2"/>
      <c r="E195" s="7"/>
      <c r="F195" s="7"/>
      <c r="G195" s="7"/>
      <c r="H195" s="2"/>
      <c r="I195" s="7"/>
      <c r="J195" s="7"/>
      <c r="K195" s="2" t="s">
        <v>441</v>
      </c>
      <c r="L195" s="7" t="s">
        <v>1116</v>
      </c>
    </row>
    <row r="196" spans="1:12" ht="19.95" customHeight="1" x14ac:dyDescent="0.3">
      <c r="A196" s="2"/>
      <c r="B196" s="5"/>
      <c r="C196" s="5"/>
      <c r="D196" s="2"/>
      <c r="E196" s="5"/>
      <c r="F196" s="5"/>
      <c r="G196" s="5"/>
      <c r="H196" s="2"/>
      <c r="I196" s="5"/>
      <c r="J196" s="5"/>
      <c r="K196" s="2" t="s">
        <v>442</v>
      </c>
      <c r="L196" s="5" t="s">
        <v>1117</v>
      </c>
    </row>
    <row r="197" spans="1:12" ht="19.95" customHeight="1" x14ac:dyDescent="0.3">
      <c r="A197" s="2"/>
      <c r="B197" s="7"/>
      <c r="C197" s="7"/>
      <c r="D197" s="2"/>
      <c r="E197" s="7"/>
      <c r="F197" s="7"/>
      <c r="G197" s="7"/>
      <c r="H197" s="2"/>
      <c r="I197" s="7"/>
      <c r="J197" s="7"/>
      <c r="K197" s="2" t="s">
        <v>443</v>
      </c>
      <c r="L197" s="7" t="s">
        <v>1118</v>
      </c>
    </row>
    <row r="198" spans="1:12" ht="19.95" customHeight="1" x14ac:dyDescent="0.3">
      <c r="A198" s="2"/>
      <c r="B198" s="5"/>
      <c r="C198" s="5"/>
      <c r="D198" s="2"/>
      <c r="E198" s="5"/>
      <c r="F198" s="5"/>
      <c r="G198" s="5"/>
      <c r="H198" s="2"/>
      <c r="I198" s="5"/>
      <c r="J198" s="5"/>
      <c r="K198" s="2" t="s">
        <v>444</v>
      </c>
      <c r="L198" s="5" t="s">
        <v>1119</v>
      </c>
    </row>
    <row r="199" spans="1:12" ht="19.95" customHeight="1" x14ac:dyDescent="0.3">
      <c r="A199" s="2"/>
      <c r="B199" s="7"/>
      <c r="C199" s="7"/>
      <c r="D199" s="2"/>
      <c r="E199" s="7"/>
      <c r="F199" s="7"/>
      <c r="G199" s="7"/>
      <c r="H199" s="2"/>
      <c r="I199" s="7"/>
      <c r="J199" s="7"/>
      <c r="K199" s="2" t="s">
        <v>445</v>
      </c>
      <c r="L199" s="7" t="s">
        <v>1120</v>
      </c>
    </row>
    <row r="200" spans="1:12" ht="19.95" customHeight="1" x14ac:dyDescent="0.3">
      <c r="A200" s="2"/>
      <c r="B200" s="5"/>
      <c r="C200" s="5"/>
      <c r="D200" s="2"/>
      <c r="E200" s="5"/>
      <c r="F200" s="5"/>
      <c r="G200" s="5"/>
      <c r="H200" s="2"/>
      <c r="I200" s="5"/>
      <c r="J200" s="5"/>
      <c r="K200" s="2" t="s">
        <v>446</v>
      </c>
      <c r="L200" s="5" t="s">
        <v>1121</v>
      </c>
    </row>
    <row r="201" spans="1:12" ht="19.95" customHeight="1" x14ac:dyDescent="0.3">
      <c r="A201" s="2"/>
      <c r="B201" s="7"/>
      <c r="C201" s="7"/>
      <c r="D201" s="2"/>
      <c r="E201" s="7"/>
      <c r="F201" s="7"/>
      <c r="G201" s="7"/>
      <c r="H201" s="2"/>
      <c r="I201" s="7"/>
      <c r="J201" s="7"/>
      <c r="K201" s="2" t="s">
        <v>447</v>
      </c>
      <c r="L201" s="7" t="s">
        <v>1122</v>
      </c>
    </row>
    <row r="202" spans="1:12" ht="19.95" customHeight="1" x14ac:dyDescent="0.3">
      <c r="A202" s="2"/>
      <c r="B202" s="5"/>
      <c r="C202" s="5"/>
      <c r="D202" s="2"/>
      <c r="E202" s="5"/>
      <c r="F202" s="5"/>
      <c r="G202" s="5"/>
      <c r="H202" s="2"/>
      <c r="I202" s="5"/>
      <c r="J202" s="5"/>
      <c r="K202" s="2" t="s">
        <v>448</v>
      </c>
      <c r="L202" s="5" t="s">
        <v>1123</v>
      </c>
    </row>
    <row r="203" spans="1:12" ht="19.95" customHeight="1" x14ac:dyDescent="0.3">
      <c r="A203" s="2"/>
      <c r="B203" s="7"/>
      <c r="C203" s="7"/>
      <c r="D203" s="2"/>
      <c r="E203" s="7"/>
      <c r="F203" s="7"/>
      <c r="G203" s="7"/>
      <c r="H203" s="2"/>
      <c r="I203" s="7"/>
      <c r="J203" s="7"/>
      <c r="K203" s="2" t="s">
        <v>449</v>
      </c>
      <c r="L203" s="7" t="s">
        <v>1124</v>
      </c>
    </row>
    <row r="204" spans="1:12" ht="19.95" customHeight="1" x14ac:dyDescent="0.3">
      <c r="A204" s="2"/>
      <c r="B204" s="5"/>
      <c r="C204" s="5"/>
      <c r="D204" s="2"/>
      <c r="E204" s="5"/>
      <c r="F204" s="5"/>
      <c r="G204" s="5"/>
      <c r="H204" s="2"/>
      <c r="I204" s="5"/>
      <c r="J204" s="5"/>
      <c r="K204" s="2" t="s">
        <v>450</v>
      </c>
      <c r="L204" s="5" t="s">
        <v>1125</v>
      </c>
    </row>
    <row r="205" spans="1:12" ht="19.95" customHeight="1" x14ac:dyDescent="0.3">
      <c r="A205" s="2"/>
      <c r="B205" s="7"/>
      <c r="C205" s="7"/>
      <c r="D205" s="2"/>
      <c r="E205" s="7"/>
      <c r="F205" s="7"/>
      <c r="G205" s="7"/>
      <c r="H205" s="2"/>
      <c r="I205" s="7"/>
      <c r="J205" s="7"/>
      <c r="K205" s="2" t="s">
        <v>451</v>
      </c>
      <c r="L205" s="7" t="s">
        <v>1126</v>
      </c>
    </row>
    <row r="206" spans="1:12" ht="19.95" customHeight="1" x14ac:dyDescent="0.3">
      <c r="A206" s="2"/>
      <c r="B206" s="5"/>
      <c r="C206" s="5"/>
      <c r="D206" s="2"/>
      <c r="E206" s="5"/>
      <c r="F206" s="5"/>
      <c r="G206" s="5"/>
      <c r="H206" s="2"/>
      <c r="I206" s="5"/>
      <c r="J206" s="5"/>
      <c r="K206" s="2" t="s">
        <v>452</v>
      </c>
      <c r="L206" s="5" t="s">
        <v>1127</v>
      </c>
    </row>
    <row r="207" spans="1:12" ht="19.95" customHeight="1" x14ac:dyDescent="0.3">
      <c r="A207" s="2"/>
      <c r="B207" s="7"/>
      <c r="C207" s="7"/>
      <c r="D207" s="2"/>
      <c r="E207" s="7"/>
      <c r="F207" s="7"/>
      <c r="G207" s="7"/>
      <c r="H207" s="2"/>
      <c r="I207" s="7"/>
      <c r="J207" s="7"/>
      <c r="K207" s="2" t="s">
        <v>453</v>
      </c>
      <c r="L207" s="7" t="s">
        <v>1128</v>
      </c>
    </row>
    <row r="208" spans="1:12" ht="19.95" customHeight="1" x14ac:dyDescent="0.3">
      <c r="A208" s="2"/>
      <c r="B208" s="5"/>
      <c r="C208" s="5"/>
      <c r="D208" s="2"/>
      <c r="E208" s="5"/>
      <c r="F208" s="5"/>
      <c r="G208" s="5"/>
      <c r="H208" s="2"/>
      <c r="I208" s="5"/>
      <c r="J208" s="5"/>
      <c r="K208" s="2" t="s">
        <v>454</v>
      </c>
      <c r="L208" s="5" t="s">
        <v>1129</v>
      </c>
    </row>
    <row r="209" spans="1:12" ht="19.95" customHeight="1" x14ac:dyDescent="0.3">
      <c r="A209" s="2"/>
      <c r="B209" s="7"/>
      <c r="C209" s="7"/>
      <c r="D209" s="2"/>
      <c r="E209" s="7"/>
      <c r="F209" s="7"/>
      <c r="G209" s="7"/>
      <c r="H209" s="2"/>
      <c r="I209" s="7"/>
      <c r="J209" s="7"/>
      <c r="K209" s="2" t="s">
        <v>455</v>
      </c>
      <c r="L209" s="7" t="s">
        <v>1130</v>
      </c>
    </row>
    <row r="210" spans="1:12" ht="19.95" customHeight="1" x14ac:dyDescent="0.3">
      <c r="A210" s="2"/>
      <c r="B210" s="5"/>
      <c r="C210" s="5"/>
      <c r="D210" s="2"/>
      <c r="E210" s="5"/>
      <c r="F210" s="5"/>
      <c r="G210" s="5"/>
      <c r="H210" s="2"/>
      <c r="I210" s="5"/>
      <c r="J210" s="5"/>
      <c r="K210" s="2" t="s">
        <v>456</v>
      </c>
      <c r="L210" s="5" t="s">
        <v>1131</v>
      </c>
    </row>
    <row r="211" spans="1:12" ht="19.95" customHeight="1" x14ac:dyDescent="0.3">
      <c r="A211" s="2"/>
      <c r="B211" s="7"/>
      <c r="C211" s="7"/>
      <c r="D211" s="2"/>
      <c r="E211" s="7"/>
      <c r="F211" s="7"/>
      <c r="G211" s="7"/>
      <c r="H211" s="2"/>
      <c r="I211" s="7"/>
      <c r="J211" s="7"/>
      <c r="K211" s="2" t="s">
        <v>457</v>
      </c>
      <c r="L211" s="7" t="s">
        <v>1132</v>
      </c>
    </row>
    <row r="212" spans="1:12" ht="19.95" customHeight="1" x14ac:dyDescent="0.3">
      <c r="A212" s="2"/>
      <c r="B212" s="5"/>
      <c r="C212" s="5"/>
      <c r="D212" s="2"/>
      <c r="E212" s="5"/>
      <c r="F212" s="5"/>
      <c r="G212" s="5"/>
      <c r="H212" s="2"/>
      <c r="I212" s="5"/>
      <c r="J212" s="5"/>
      <c r="K212" s="2" t="s">
        <v>458</v>
      </c>
      <c r="L212" s="5" t="s">
        <v>1133</v>
      </c>
    </row>
    <row r="213" spans="1:12" ht="19.95" customHeight="1" x14ac:dyDescent="0.3">
      <c r="A213" s="2"/>
      <c r="B213" s="7"/>
      <c r="C213" s="7"/>
      <c r="D213" s="2"/>
      <c r="E213" s="7"/>
      <c r="F213" s="7"/>
      <c r="G213" s="7"/>
      <c r="H213" s="2"/>
      <c r="I213" s="7"/>
      <c r="J213" s="7"/>
      <c r="K213" s="2" t="s">
        <v>459</v>
      </c>
      <c r="L213" s="7" t="s">
        <v>1134</v>
      </c>
    </row>
    <row r="214" spans="1:12" ht="19.95" customHeight="1" x14ac:dyDescent="0.3">
      <c r="A214" s="2"/>
      <c r="B214" s="5"/>
      <c r="C214" s="5"/>
      <c r="D214" s="2"/>
      <c r="E214" s="5"/>
      <c r="F214" s="5"/>
      <c r="G214" s="5"/>
      <c r="H214" s="2"/>
      <c r="I214" s="5"/>
      <c r="J214" s="5"/>
      <c r="K214" s="2" t="s">
        <v>460</v>
      </c>
      <c r="L214" s="5" t="s">
        <v>1135</v>
      </c>
    </row>
    <row r="215" spans="1:12" ht="19.95" customHeight="1" x14ac:dyDescent="0.3">
      <c r="A215" s="2"/>
      <c r="B215" s="7"/>
      <c r="C215" s="7"/>
      <c r="D215" s="2"/>
      <c r="E215" s="7"/>
      <c r="F215" s="7"/>
      <c r="G215" s="7"/>
      <c r="H215" s="2"/>
      <c r="I215" s="7"/>
      <c r="J215" s="7"/>
      <c r="K215" s="2" t="s">
        <v>461</v>
      </c>
      <c r="L215" s="7" t="s">
        <v>1136</v>
      </c>
    </row>
    <row r="216" spans="1:12" ht="19.95" customHeight="1" x14ac:dyDescent="0.3">
      <c r="A216" s="2"/>
      <c r="B216" s="5"/>
      <c r="C216" s="5"/>
      <c r="D216" s="2"/>
      <c r="E216" s="5"/>
      <c r="F216" s="5"/>
      <c r="G216" s="5"/>
      <c r="H216" s="2"/>
      <c r="I216" s="5"/>
      <c r="J216" s="5"/>
      <c r="K216" s="2" t="s">
        <v>462</v>
      </c>
      <c r="L216" s="5" t="s">
        <v>1137</v>
      </c>
    </row>
    <row r="217" spans="1:12" ht="19.95" customHeight="1" x14ac:dyDescent="0.3">
      <c r="A217" s="2"/>
      <c r="B217" s="7"/>
      <c r="C217" s="7"/>
      <c r="D217" s="2"/>
      <c r="E217" s="7"/>
      <c r="F217" s="7"/>
      <c r="G217" s="7"/>
      <c r="H217" s="2"/>
      <c r="I217" s="7"/>
      <c r="J217" s="7"/>
      <c r="K217" s="2" t="s">
        <v>463</v>
      </c>
      <c r="L217" s="7" t="s">
        <v>1138</v>
      </c>
    </row>
    <row r="218" spans="1:12" ht="19.95" customHeight="1" x14ac:dyDescent="0.3">
      <c r="A218" s="2"/>
      <c r="B218" s="5"/>
      <c r="C218" s="5"/>
      <c r="D218" s="2"/>
      <c r="E218" s="5"/>
      <c r="F218" s="5"/>
      <c r="G218" s="5"/>
      <c r="H218" s="2"/>
      <c r="I218" s="5"/>
      <c r="J218" s="5"/>
      <c r="K218" s="2" t="s">
        <v>464</v>
      </c>
      <c r="L218" s="5" t="s">
        <v>1139</v>
      </c>
    </row>
    <row r="219" spans="1:12" ht="19.95" customHeight="1" x14ac:dyDescent="0.3">
      <c r="A219" s="2"/>
      <c r="B219" s="7"/>
      <c r="C219" s="7"/>
      <c r="D219" s="2"/>
      <c r="E219" s="7"/>
      <c r="F219" s="7"/>
      <c r="G219" s="7"/>
      <c r="H219" s="2"/>
      <c r="I219" s="7"/>
      <c r="J219" s="7"/>
      <c r="K219" s="2" t="s">
        <v>465</v>
      </c>
      <c r="L219" s="7" t="s">
        <v>1140</v>
      </c>
    </row>
    <row r="220" spans="1:12" ht="19.95" customHeight="1" x14ac:dyDescent="0.3">
      <c r="A220" s="2"/>
      <c r="B220" s="5"/>
      <c r="C220" s="5"/>
      <c r="D220" s="2"/>
      <c r="E220" s="5"/>
      <c r="F220" s="5"/>
      <c r="G220" s="5"/>
      <c r="H220" s="2"/>
      <c r="I220" s="5"/>
      <c r="J220" s="5"/>
      <c r="K220" s="2" t="s">
        <v>466</v>
      </c>
      <c r="L220" s="5" t="s">
        <v>1141</v>
      </c>
    </row>
    <row r="221" spans="1:12" ht="19.95" customHeight="1" x14ac:dyDescent="0.3">
      <c r="A221" s="2"/>
      <c r="B221" s="7"/>
      <c r="C221" s="7"/>
      <c r="D221" s="2"/>
      <c r="E221" s="7"/>
      <c r="F221" s="7"/>
      <c r="G221" s="7"/>
      <c r="H221" s="2"/>
      <c r="I221" s="7"/>
      <c r="J221" s="7"/>
      <c r="K221" s="2" t="s">
        <v>467</v>
      </c>
      <c r="L221" s="7" t="s">
        <v>1142</v>
      </c>
    </row>
    <row r="222" spans="1:12" ht="19.95" customHeight="1" x14ac:dyDescent="0.3">
      <c r="A222" s="2"/>
      <c r="B222" s="5"/>
      <c r="C222" s="5"/>
      <c r="D222" s="2"/>
      <c r="E222" s="5"/>
      <c r="F222" s="5"/>
      <c r="G222" s="5"/>
      <c r="H222" s="2"/>
      <c r="I222" s="5"/>
      <c r="J222" s="5"/>
      <c r="K222" s="2" t="s">
        <v>468</v>
      </c>
      <c r="L222" s="5" t="s">
        <v>1143</v>
      </c>
    </row>
    <row r="223" spans="1:12" ht="34.049999999999997" customHeight="1" x14ac:dyDescent="0.3">
      <c r="A223" s="2"/>
      <c r="B223" s="7"/>
      <c r="C223" s="7"/>
      <c r="D223" s="2"/>
      <c r="E223" s="7"/>
      <c r="F223" s="7"/>
      <c r="G223" s="7"/>
      <c r="H223" s="2"/>
      <c r="I223" s="7"/>
      <c r="J223" s="7"/>
      <c r="K223" s="2" t="s">
        <v>469</v>
      </c>
      <c r="L223" s="7" t="s">
        <v>1144</v>
      </c>
    </row>
    <row r="224" spans="1:12" ht="19.95" customHeight="1" x14ac:dyDescent="0.3">
      <c r="A224" s="2"/>
      <c r="B224" s="5"/>
      <c r="C224" s="5"/>
      <c r="D224" s="2"/>
      <c r="E224" s="5"/>
      <c r="F224" s="5"/>
      <c r="G224" s="5"/>
      <c r="H224" s="2"/>
      <c r="I224" s="5"/>
      <c r="J224" s="5"/>
      <c r="K224" s="2" t="s">
        <v>470</v>
      </c>
      <c r="L224" s="5" t="s">
        <v>1145</v>
      </c>
    </row>
    <row r="225" spans="1:12" ht="19.95" customHeight="1" x14ac:dyDescent="0.3">
      <c r="A225" s="2"/>
      <c r="B225" s="7"/>
      <c r="C225" s="7"/>
      <c r="D225" s="2"/>
      <c r="E225" s="7"/>
      <c r="F225" s="7"/>
      <c r="G225" s="7"/>
      <c r="H225" s="2"/>
      <c r="I225" s="7"/>
      <c r="J225" s="7"/>
      <c r="K225" s="2" t="s">
        <v>471</v>
      </c>
      <c r="L225" s="7" t="s">
        <v>1146</v>
      </c>
    </row>
    <row r="226" spans="1:12" ht="19.95" customHeight="1" x14ac:dyDescent="0.3">
      <c r="A226" s="2"/>
      <c r="B226" s="5"/>
      <c r="C226" s="5"/>
      <c r="D226" s="2"/>
      <c r="E226" s="5"/>
      <c r="F226" s="5"/>
      <c r="G226" s="5"/>
      <c r="H226" s="2"/>
      <c r="I226" s="5"/>
      <c r="J226" s="5"/>
      <c r="K226" s="2" t="s">
        <v>472</v>
      </c>
      <c r="L226" s="5" t="s">
        <v>1147</v>
      </c>
    </row>
    <row r="227" spans="1:12" ht="19.95" customHeight="1" x14ac:dyDescent="0.3">
      <c r="A227" s="2"/>
      <c r="B227" s="7"/>
      <c r="C227" s="7"/>
      <c r="D227" s="2"/>
      <c r="E227" s="7"/>
      <c r="F227" s="7"/>
      <c r="G227" s="7"/>
      <c r="H227" s="2"/>
      <c r="I227" s="7"/>
      <c r="J227" s="7"/>
      <c r="K227" s="2" t="s">
        <v>473</v>
      </c>
      <c r="L227" s="7" t="s">
        <v>1148</v>
      </c>
    </row>
    <row r="228" spans="1:12" ht="19.95" customHeight="1" x14ac:dyDescent="0.3">
      <c r="A228" s="2"/>
      <c r="B228" s="5"/>
      <c r="C228" s="5"/>
      <c r="D228" s="2"/>
      <c r="E228" s="5"/>
      <c r="F228" s="5"/>
      <c r="G228" s="5"/>
      <c r="H228" s="2"/>
      <c r="I228" s="5"/>
      <c r="J228" s="5"/>
      <c r="K228" s="2" t="s">
        <v>474</v>
      </c>
      <c r="L228" s="5" t="s">
        <v>1149</v>
      </c>
    </row>
    <row r="229" spans="1:12" ht="19.95" customHeight="1" x14ac:dyDescent="0.3">
      <c r="A229" s="2"/>
      <c r="B229" s="7"/>
      <c r="C229" s="7"/>
      <c r="D229" s="2"/>
      <c r="E229" s="7"/>
      <c r="F229" s="7"/>
      <c r="G229" s="7"/>
      <c r="H229" s="2"/>
      <c r="I229" s="7"/>
      <c r="J229" s="7"/>
      <c r="K229" s="2" t="s">
        <v>475</v>
      </c>
      <c r="L229" s="7" t="s">
        <v>1150</v>
      </c>
    </row>
    <row r="230" spans="1:12" ht="19.95" customHeight="1" x14ac:dyDescent="0.3">
      <c r="A230" s="2"/>
      <c r="B230" s="5"/>
      <c r="C230" s="5"/>
      <c r="D230" s="2"/>
      <c r="E230" s="5"/>
      <c r="F230" s="5"/>
      <c r="G230" s="5"/>
      <c r="H230" s="2"/>
      <c r="I230" s="5"/>
      <c r="J230" s="5"/>
      <c r="K230" s="2" t="s">
        <v>476</v>
      </c>
      <c r="L230" s="5" t="s">
        <v>1151</v>
      </c>
    </row>
    <row r="231" spans="1:12" ht="19.95" customHeight="1" x14ac:dyDescent="0.3">
      <c r="A231" s="2"/>
      <c r="B231" s="7"/>
      <c r="C231" s="7"/>
      <c r="D231" s="2"/>
      <c r="E231" s="7"/>
      <c r="F231" s="7"/>
      <c r="G231" s="7"/>
      <c r="H231" s="2"/>
      <c r="I231" s="7"/>
      <c r="J231" s="7"/>
      <c r="K231" s="2" t="s">
        <v>477</v>
      </c>
      <c r="L231" s="7" t="s">
        <v>1152</v>
      </c>
    </row>
    <row r="232" spans="1:12" ht="19.95" customHeight="1" x14ac:dyDescent="0.3">
      <c r="A232" s="2"/>
      <c r="B232" s="5"/>
      <c r="C232" s="5"/>
      <c r="D232" s="2"/>
      <c r="E232" s="5"/>
      <c r="F232" s="5"/>
      <c r="G232" s="5"/>
      <c r="H232" s="2"/>
      <c r="I232" s="5"/>
      <c r="J232" s="5"/>
      <c r="K232" s="2" t="s">
        <v>478</v>
      </c>
      <c r="L232" s="5" t="s">
        <v>1153</v>
      </c>
    </row>
    <row r="233" spans="1:12" ht="19.95" customHeight="1" x14ac:dyDescent="0.3">
      <c r="A233" s="2"/>
      <c r="B233" s="7"/>
      <c r="C233" s="7"/>
      <c r="D233" s="2"/>
      <c r="E233" s="7"/>
      <c r="F233" s="7"/>
      <c r="G233" s="7"/>
      <c r="H233" s="2"/>
      <c r="I233" s="7"/>
      <c r="J233" s="7"/>
      <c r="K233" s="2" t="s">
        <v>479</v>
      </c>
      <c r="L233" s="7" t="s">
        <v>1154</v>
      </c>
    </row>
    <row r="234" spans="1:12" ht="19.95" customHeight="1" x14ac:dyDescent="0.3">
      <c r="A234" s="2"/>
      <c r="B234" s="5"/>
      <c r="C234" s="5"/>
      <c r="D234" s="2"/>
      <c r="E234" s="5"/>
      <c r="F234" s="5"/>
      <c r="G234" s="5"/>
      <c r="H234" s="2"/>
      <c r="I234" s="5"/>
      <c r="J234" s="5"/>
      <c r="K234" s="2" t="s">
        <v>480</v>
      </c>
      <c r="L234" s="5" t="s">
        <v>1155</v>
      </c>
    </row>
    <row r="235" spans="1:12" ht="19.95" customHeight="1" x14ac:dyDescent="0.3">
      <c r="A235" s="2"/>
      <c r="B235" s="7"/>
      <c r="C235" s="7"/>
      <c r="D235" s="2"/>
      <c r="E235" s="7"/>
      <c r="F235" s="7"/>
      <c r="G235" s="7"/>
      <c r="H235" s="2"/>
      <c r="I235" s="7"/>
      <c r="J235" s="7"/>
      <c r="K235" s="2" t="s">
        <v>481</v>
      </c>
      <c r="L235" s="7" t="s">
        <v>1156</v>
      </c>
    </row>
    <row r="236" spans="1:12" ht="19.95" customHeight="1" x14ac:dyDescent="0.3">
      <c r="A236" s="2"/>
      <c r="B236" s="5"/>
      <c r="C236" s="5"/>
      <c r="D236" s="2"/>
      <c r="E236" s="5"/>
      <c r="F236" s="5"/>
      <c r="G236" s="5"/>
      <c r="H236" s="2"/>
      <c r="I236" s="5"/>
      <c r="J236" s="5"/>
      <c r="K236" s="2" t="s">
        <v>482</v>
      </c>
      <c r="L236" s="5" t="s">
        <v>1157</v>
      </c>
    </row>
    <row r="237" spans="1:12" ht="19.95" customHeight="1" x14ac:dyDescent="0.3">
      <c r="A237" s="2"/>
      <c r="B237" s="7"/>
      <c r="C237" s="7"/>
      <c r="D237" s="2"/>
      <c r="E237" s="7"/>
      <c r="F237" s="7"/>
      <c r="G237" s="7"/>
      <c r="H237" s="2"/>
      <c r="I237" s="7"/>
      <c r="J237" s="7"/>
      <c r="K237" s="2" t="s">
        <v>483</v>
      </c>
      <c r="L237" s="7" t="s">
        <v>1158</v>
      </c>
    </row>
    <row r="238" spans="1:12" ht="19.95" customHeight="1" x14ac:dyDescent="0.3">
      <c r="A238" s="2"/>
      <c r="B238" s="5"/>
      <c r="C238" s="5"/>
      <c r="D238" s="2"/>
      <c r="E238" s="5"/>
      <c r="F238" s="5"/>
      <c r="G238" s="5"/>
      <c r="H238" s="2"/>
      <c r="I238" s="5"/>
      <c r="J238" s="5"/>
      <c r="K238" s="2" t="s">
        <v>484</v>
      </c>
      <c r="L238" s="5" t="s">
        <v>1159</v>
      </c>
    </row>
    <row r="239" spans="1:12" ht="19.95" customHeight="1" x14ac:dyDescent="0.3">
      <c r="A239" s="2"/>
      <c r="B239" s="7"/>
      <c r="C239" s="7"/>
      <c r="D239" s="2"/>
      <c r="E239" s="7"/>
      <c r="F239" s="7"/>
      <c r="G239" s="7"/>
      <c r="H239" s="2"/>
      <c r="I239" s="7"/>
      <c r="J239" s="7"/>
      <c r="K239" s="2" t="s">
        <v>485</v>
      </c>
      <c r="L239" s="7" t="s">
        <v>1160</v>
      </c>
    </row>
    <row r="240" spans="1:12" ht="19.95" customHeight="1" x14ac:dyDescent="0.3">
      <c r="A240" s="2"/>
      <c r="B240" s="5"/>
      <c r="C240" s="5"/>
      <c r="D240" s="2"/>
      <c r="E240" s="5"/>
      <c r="F240" s="5"/>
      <c r="G240" s="5"/>
      <c r="H240" s="2"/>
      <c r="I240" s="5"/>
      <c r="J240" s="5"/>
      <c r="K240" s="2" t="s">
        <v>486</v>
      </c>
      <c r="L240" s="5" t="s">
        <v>1161</v>
      </c>
    </row>
    <row r="241" spans="1:12" ht="34.049999999999997" customHeight="1" x14ac:dyDescent="0.3">
      <c r="A241" s="2"/>
      <c r="B241" s="7"/>
      <c r="C241" s="7"/>
      <c r="D241" s="2"/>
      <c r="E241" s="7"/>
      <c r="F241" s="7"/>
      <c r="G241" s="7"/>
      <c r="H241" s="2"/>
      <c r="I241" s="7"/>
      <c r="J241" s="7"/>
      <c r="K241" s="2" t="s">
        <v>487</v>
      </c>
      <c r="L241" s="7" t="s">
        <v>1162</v>
      </c>
    </row>
    <row r="242" spans="1:12" ht="19.95" customHeight="1" x14ac:dyDescent="0.3">
      <c r="A242" s="2"/>
      <c r="B242" s="5"/>
      <c r="C242" s="5"/>
      <c r="D242" s="2"/>
      <c r="E242" s="5"/>
      <c r="F242" s="5"/>
      <c r="G242" s="5"/>
      <c r="H242" s="2"/>
      <c r="I242" s="5"/>
      <c r="J242" s="5"/>
      <c r="K242" s="2" t="s">
        <v>488</v>
      </c>
      <c r="L242" s="5" t="s">
        <v>1163</v>
      </c>
    </row>
    <row r="243" spans="1:12" ht="19.95" customHeight="1" x14ac:dyDescent="0.3">
      <c r="A243" s="2"/>
      <c r="B243" s="7"/>
      <c r="C243" s="7"/>
      <c r="D243" s="2"/>
      <c r="E243" s="7"/>
      <c r="F243" s="7"/>
      <c r="G243" s="7"/>
      <c r="H243" s="2"/>
      <c r="I243" s="7"/>
      <c r="J243" s="7"/>
      <c r="K243" s="2" t="s">
        <v>489</v>
      </c>
      <c r="L243" s="7" t="s">
        <v>1164</v>
      </c>
    </row>
    <row r="244" spans="1:12" ht="19.95" customHeight="1" x14ac:dyDescent="0.3">
      <c r="A244" s="2"/>
      <c r="B244" s="5"/>
      <c r="C244" s="5"/>
      <c r="D244" s="2"/>
      <c r="E244" s="5"/>
      <c r="F244" s="5"/>
      <c r="G244" s="5"/>
      <c r="H244" s="2"/>
      <c r="I244" s="5"/>
      <c r="J244" s="5"/>
      <c r="K244" s="2" t="s">
        <v>490</v>
      </c>
      <c r="L244" s="5" t="s">
        <v>1165</v>
      </c>
    </row>
    <row r="245" spans="1:12" ht="19.95" customHeight="1" x14ac:dyDescent="0.3">
      <c r="A245" s="2"/>
      <c r="B245" s="7"/>
      <c r="C245" s="7"/>
      <c r="D245" s="2"/>
      <c r="E245" s="7"/>
      <c r="F245" s="7"/>
      <c r="G245" s="7"/>
      <c r="H245" s="2"/>
      <c r="I245" s="7"/>
      <c r="J245" s="7"/>
      <c r="K245" s="2" t="s">
        <v>491</v>
      </c>
      <c r="L245" s="7" t="s">
        <v>1166</v>
      </c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Сводка по направлениям</vt:lpstr>
      <vt:lpstr>Компании по направлениям</vt:lpstr>
      <vt:lpstr>Должности по направлениям</vt:lpstr>
      <vt:lpstr>Ответственные лица</vt:lpstr>
      <vt:lpstr>Справочник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2026-08-14T05:04:37Z</dcterms:created>
  <dcterms:modified xsi:type="dcterms:W3CDTF">2026-08-17T03:16:25Z</dcterms:modified>
  <cp:category/>
</cp:coreProperties>
</file>